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ù lao tham gia nhiệm vụ" sheetId="1" r:id="rId4"/>
  </sheets>
  <definedNames/>
  <calcPr/>
  <extLst>
    <ext uri="GoogleSheetsCustomDataVersion2">
      <go:sheetsCustomData xmlns:go="http://customooxmlschemas.google.com/" r:id="rId5" roundtripDataChecksum="p11EOwy1RdcoYRGpnbBTYJrSbWr/pTx4lg/6EcnxiZA="/>
    </ext>
  </extLst>
</workbook>
</file>

<file path=xl/sharedStrings.xml><?xml version="1.0" encoding="utf-8"?>
<sst xmlns="http://schemas.openxmlformats.org/spreadsheetml/2006/main" count="126" uniqueCount="81">
  <si>
    <t>e</t>
  </si>
  <si>
    <t>TÊN ĐỀ TÀI: Xây dựng hệ thống AI Logistics sử dụng mô hình Trí tuệ nhân tạo trong điều phối vận hành vận chuyển hàng hóa và Tự động hóa kho thông minh (IoT Smart Sorting)</t>
  </si>
  <si>
    <t xml:space="preserve">Chủ nhiệm đề tài: Nguyễn Văn Toàn </t>
  </si>
  <si>
    <t>Mục 1: Công lao động trực tiếp tham gia thực hiện đề tài: 3.100.000đ (Bằng chữ: Ba triệu một trăm nghìn đồng)</t>
  </si>
  <si>
    <t>TT</t>
  </si>
  <si>
    <t>Nội dung công việc</t>
  </si>
  <si>
    <t>Người thực hiện</t>
  </si>
  <si>
    <t>Hệ số lao động khoa học</t>
  </si>
  <si>
    <t>Số người trong nhóm chức danh</t>
  </si>
  <si>
    <t>Định mức thù lao tháng của chủ nhiệm (DMCN)</t>
  </si>
  <si>
    <t>Tổng kinh phí</t>
  </si>
  <si>
    <t>Tổng số tháng quy đổi của chức danh/nhóm chức danh</t>
  </si>
  <si>
    <t>Tổng thù lao thực hiện nhiệm vụ</t>
  </si>
  <si>
    <t>8=4*6*7</t>
  </si>
  <si>
    <t>I</t>
  </si>
  <si>
    <t>Xây dựng thuyết minh</t>
  </si>
  <si>
    <t>Nội dung công việc này chủ nhiệm và thư ký khoa học của đề tài thực hiện đã được tính trong thù lao của chủ nhiệm và thư ký khoa học, không tính thù lao riêng</t>
  </si>
  <si>
    <t>II</t>
  </si>
  <si>
    <t>Nội dung nghiên cứu</t>
  </si>
  <si>
    <t>Nghiên cứu tổng quan về AI trong logistics, kho thông minh và hệ thống IoT Smart Sorting và thuật toán ByteTrack</t>
  </si>
  <si>
    <t>Thù lao thành viên chính</t>
  </si>
  <si>
    <t xml:space="preserve">Nguyễn Văn Toàn </t>
  </si>
  <si>
    <t>Thù lao thành viên phụ</t>
  </si>
  <si>
    <t xml:space="preserve">Nguyễn Hồng Vinh
Trần Thị Loan </t>
  </si>
  <si>
    <t>Thu thập và xây dựng bộ dữ liệu video trong môi trường logistics (băng chuyền, pallet, phương tiện vận chuyển nội bộ…); tiến hành gán nhãn đối tượng</t>
  </si>
  <si>
    <t>Trần Thị Loan</t>
  </si>
  <si>
    <t xml:space="preserve">Thù lao thành viên phụ </t>
  </si>
  <si>
    <t>Nguyễn Hồng Vinh
Nguyễn Thị Thu Hà</t>
  </si>
  <si>
    <t>Huấn luyện mô hình YOLOv12 để phát hiện kiện hàng, pallet, người vận hành và phương tiện nội bộ trong kho</t>
  </si>
  <si>
    <t>Trần Thị Loan
Nguyễn Hồng Vinh</t>
  </si>
  <si>
    <t>Tích hợp thuật toán ByteTrack nhằm truy vết liên tục và gán ID ổn định cho từng đối tượng logistics trong video</t>
  </si>
  <si>
    <t>Xây dựng ứng dụng Demo mô phỏng hệ thống IoT Smart Sorting: hiển thị bounding box, ID, quỹ đạo di chuyển và thông tin điều phối</t>
  </si>
  <si>
    <t xml:space="preserve">Nguyễn Hồng Vinh
Nguyễn Thị Thu Hà 
</t>
  </si>
  <si>
    <t>Đánh giá hệ thống theo các chỉ số MOTA, IDF1, Precision, FPS; phân tích khả năng ứng dụng trong vận hành kho thông minh</t>
  </si>
  <si>
    <t>Thù lao của chủ nhiệm nhiệm vụ</t>
  </si>
  <si>
    <t>Thù lao cho thư ký khoa học</t>
  </si>
  <si>
    <t>Viết báo cáo tổng kết</t>
  </si>
  <si>
    <t>Tổng</t>
  </si>
  <si>
    <t>Mục 2: Chi thiết bị, máy móc: 0 (Bằng chữ: ……………..)(chi tiết trong phụ lục thiết bị và báo giá kèm theo)</t>
  </si>
  <si>
    <t>Stt</t>
  </si>
  <si>
    <t>Tên thiết bị</t>
  </si>
  <si>
    <t>Thông số kỹ thuật</t>
  </si>
  <si>
    <t>Số lượng</t>
  </si>
  <si>
    <t>Đơn giá</t>
  </si>
  <si>
    <t>Thành tiền</t>
  </si>
  <si>
    <t>Ghi chú</t>
  </si>
  <si>
    <t>Mục 3: Chi văn phòng phẩm: 20.000 (Bằng chữ: Hai mươi nghìn đồng  )</t>
  </si>
  <si>
    <t>Mục 4: Chi hoạt động của các hội đồng: 680.000 (Bằng chữ: Sáu trăm tám mươi nghìn đồng</t>
  </si>
  <si>
    <t>4.1: Họp hội đồng xét duyệt thuyết minh</t>
  </si>
  <si>
    <t>Số TT</t>
  </si>
  <si>
    <t>Nội dung</t>
  </si>
  <si>
    <t>Thời gian thực hiện
(Năm)</t>
  </si>
  <si>
    <t>Đơn vị tính</t>
  </si>
  <si>
    <t>Đơn giá (đồng)</t>
  </si>
  <si>
    <t>Tổng kinh phí (đồng)</t>
  </si>
  <si>
    <t>3.1.1</t>
  </si>
  <si>
    <t>Chủ tịch hội đồng</t>
  </si>
  <si>
    <t>Người</t>
  </si>
  <si>
    <t>3.1.2</t>
  </si>
  <si>
    <t>Uỷ viên hội đồng</t>
  </si>
  <si>
    <t>3.1.3</t>
  </si>
  <si>
    <t>Thư ký hành chính</t>
  </si>
  <si>
    <t>Tổng tiền</t>
  </si>
  <si>
    <t>4.2: Họp kiểm tra tiến độ</t>
  </si>
  <si>
    <t>3.2.1</t>
  </si>
  <si>
    <t>Trưởng đoàn</t>
  </si>
  <si>
    <t>3.2.2</t>
  </si>
  <si>
    <t>Thành viên</t>
  </si>
  <si>
    <t>3.2.3</t>
  </si>
  <si>
    <t>4.3: Chi họp hội đồng nghiệm thu</t>
  </si>
  <si>
    <t>3.3.1</t>
  </si>
  <si>
    <t>Chủ tịch Hội đồng</t>
  </si>
  <si>
    <t>3.3.2</t>
  </si>
  <si>
    <t>Thành viên Hội đồng (UV, TK)</t>
  </si>
  <si>
    <t>3.3.3</t>
  </si>
  <si>
    <t>Thành viên Hội đồng (UV, phản biện)</t>
  </si>
  <si>
    <t>3.3.4</t>
  </si>
  <si>
    <t>Mục 5: Chi quản lý chung: 200.000                    (Bằng chữ: Hai trăm nghìn đồng)(Tính bằng 5% tổng kinh phí đề tài)</t>
  </si>
  <si>
    <t>Thái Nguyên, ngày       tháng         năm 2026</t>
  </si>
  <si>
    <t>TỔ CHỨC CHỦ TRÌ</t>
  </si>
  <si>
    <t>CHỦ NHIỆM ĐỀ TÀI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</si>
</sst>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b/>
      <sz val="11.0"/>
      <color theme="1"/>
      <name val="Times New Roman"/>
    </font>
    <font>
      <sz val="11.0"/>
      <color theme="1"/>
      <name val="Times New Roman"/>
    </font>
    <font>
      <b/>
      <sz val="12.0"/>
      <color theme="1"/>
      <name val="Times New Roman"/>
    </font>
    <font/>
    <font>
      <color theme="1"/>
      <name val="Times New Roman"/>
    </font>
    <font>
      <sz val="12.0"/>
      <color theme="1"/>
      <name val="Times New Roman"/>
    </font>
    <font>
      <sz val="12.0"/>
      <color theme="1"/>
      <name val="&quot;Times New Roman&quot;"/>
    </font>
    <font>
      <sz val="13.0"/>
      <color rgb="FF000000"/>
      <name val="'Times New Roman'"/>
    </font>
    <font>
      <b/>
      <color theme="1"/>
      <name val="Times New Roman"/>
    </font>
    <font>
      <b/>
      <sz val="12.0"/>
      <color theme="1"/>
      <name val="&quot;Times New Roman&quot;"/>
    </font>
    <font>
      <sz val="14.0"/>
      <color theme="1"/>
      <name val="Times New Roman"/>
    </font>
  </fonts>
  <fills count="3">
    <fill>
      <patternFill patternType="none"/>
    </fill>
    <fill>
      <patternFill patternType="lightGray"/>
    </fill>
    <fill>
      <patternFill patternType="solid">
        <fgColor rgb="FFFFFF00"/>
        <bgColor rgb="FFFFFF00"/>
      </patternFill>
    </fill>
  </fills>
  <borders count="35">
    <border/>
    <border>
      <left style="medium">
        <color rgb="FFCCCCCC"/>
      </left>
      <top style="medium">
        <color rgb="FFCCCCCC"/>
      </top>
      <bottom style="medium">
        <color rgb="FFCCCCCC"/>
      </bottom>
    </border>
    <border>
      <top style="medium">
        <color rgb="FFCCCCCC"/>
      </top>
      <bottom style="medium">
        <color rgb="FFCCCCCC"/>
      </bottom>
    </border>
    <border>
      <right style="medium">
        <color rgb="FFCCCCCC"/>
      </right>
      <top style="medium">
        <color rgb="FFCCCCCC"/>
      </top>
      <bottom style="medium">
        <color rgb="FFCCCCCC"/>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CCCCCC"/>
      </left>
      <right style="medium">
        <color rgb="FF000000"/>
      </right>
      <bottom style="medium">
        <color rgb="FF000000"/>
      </bottom>
    </border>
    <border>
      <left style="medium">
        <color rgb="FFCCCCCC"/>
      </left>
      <right style="medium">
        <color rgb="FFCCCCCC"/>
      </right>
      <bottom style="medium">
        <color rgb="FFCCCCCC"/>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top style="medium">
        <color rgb="FFCCCCCC"/>
      </top>
      <bottom style="medium">
        <color rgb="FF000000"/>
      </bottom>
    </border>
    <border>
      <top style="medium">
        <color rgb="FFCCCCCC"/>
      </top>
      <bottom style="medium">
        <color rgb="FF000000"/>
      </bottom>
    </border>
    <border>
      <right style="medium">
        <color rgb="FFCCCCCC"/>
      </right>
      <top style="medium">
        <color rgb="FFCCCCCC"/>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1" numFmtId="0" xfId="0" applyAlignment="1" applyFont="1">
      <alignment horizontal="center" shrinkToFit="0" vertical="center" wrapText="1"/>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Border="1" applyFont="1"/>
    <xf borderId="3" fillId="0" fontId="4" numFmtId="0" xfId="0" applyBorder="1" applyFont="1"/>
    <xf borderId="4" fillId="0" fontId="3" numFmtId="0" xfId="0" applyAlignment="1" applyBorder="1" applyFont="1">
      <alignment shrinkToFit="0" vertical="center" wrapText="1"/>
    </xf>
    <xf borderId="5" fillId="0" fontId="3" numFmtId="0" xfId="0" applyAlignment="1" applyBorder="1" applyFont="1">
      <alignment shrinkToFit="0" vertical="center" wrapText="1"/>
    </xf>
    <xf borderId="5" fillId="0" fontId="3"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7" fillId="0" fontId="4" numFmtId="0" xfId="0" applyBorder="1" applyFont="1"/>
    <xf borderId="8" fillId="0" fontId="4" numFmtId="0" xfId="0" applyBorder="1" applyFont="1"/>
    <xf borderId="9" fillId="0" fontId="4" numFmtId="0" xfId="0" applyBorder="1" applyFont="1"/>
    <xf borderId="10" fillId="0" fontId="3" numFmtId="0" xfId="0" applyAlignment="1" applyBorder="1" applyFont="1">
      <alignment horizontal="center" shrinkToFit="0" vertical="center" wrapText="1"/>
    </xf>
    <xf borderId="11" fillId="0" fontId="3" numFmtId="0" xfId="0" applyAlignment="1" applyBorder="1" applyFont="1">
      <alignment shrinkToFit="0" vertical="center" wrapText="1"/>
    </xf>
    <xf borderId="12" fillId="0" fontId="3" numFmtId="0" xfId="0" applyAlignment="1" applyBorder="1" applyFont="1">
      <alignment shrinkToFit="0" vertical="center" wrapText="1"/>
    </xf>
    <xf borderId="10" fillId="0" fontId="3" numFmtId="0" xfId="0" applyAlignment="1" applyBorder="1" applyFont="1">
      <alignment shrinkToFit="0" vertical="center" wrapText="1"/>
    </xf>
    <xf borderId="0" fillId="0" fontId="5" numFmtId="0" xfId="0" applyFont="1"/>
    <xf borderId="12" fillId="0" fontId="1" numFmtId="0" xfId="0" applyBorder="1" applyFont="1"/>
    <xf borderId="10" fillId="0" fontId="2" numFmtId="0" xfId="0" applyAlignment="1" applyBorder="1" applyFont="1">
      <alignment vertical="center"/>
    </xf>
    <xf borderId="13" fillId="0" fontId="6" numFmtId="0" xfId="0" applyAlignment="1" applyBorder="1" applyFont="1">
      <alignment shrinkToFit="0" vertical="center" wrapText="1"/>
    </xf>
    <xf borderId="14" fillId="0" fontId="4" numFmtId="0" xfId="0" applyBorder="1" applyFont="1"/>
    <xf borderId="15" fillId="0" fontId="4" numFmtId="0" xfId="0" applyBorder="1" applyFont="1"/>
    <xf borderId="10" fillId="0" fontId="2" numFmtId="0" xfId="0" applyBorder="1" applyFont="1"/>
    <xf borderId="10" fillId="0" fontId="2" numFmtId="0" xfId="0" applyAlignment="1" applyBorder="1" applyFont="1">
      <alignment horizontal="center" vertical="center"/>
    </xf>
    <xf borderId="10" fillId="0" fontId="2" numFmtId="0" xfId="0" applyAlignment="1" applyBorder="1" applyFont="1">
      <alignment horizontal="center"/>
    </xf>
    <xf borderId="11" fillId="0" fontId="2" numFmtId="0" xfId="0" applyBorder="1" applyFont="1"/>
    <xf borderId="12" fillId="0" fontId="1" numFmtId="0" xfId="0" applyAlignment="1" applyBorder="1" applyFont="1">
      <alignment vertical="top"/>
    </xf>
    <xf borderId="10" fillId="0" fontId="1" numFmtId="0" xfId="0" applyAlignment="1" applyBorder="1" applyFont="1">
      <alignment readingOrder="0" shrinkToFit="0" vertical="center" wrapText="1"/>
    </xf>
    <xf borderId="0" fillId="0" fontId="1" numFmtId="0" xfId="0" applyAlignment="1" applyFont="1">
      <alignment horizontal="left" vertical="center"/>
    </xf>
    <xf borderId="10" fillId="0" fontId="1" numFmtId="0" xfId="0" applyAlignment="1" applyBorder="1" applyFont="1">
      <alignment horizontal="center" vertical="center"/>
    </xf>
    <xf borderId="10" fillId="0" fontId="1" numFmtId="0" xfId="0" applyBorder="1" applyFont="1"/>
    <xf borderId="10" fillId="0" fontId="1" numFmtId="0" xfId="0" applyAlignment="1" applyBorder="1" applyFont="1">
      <alignment horizontal="center"/>
    </xf>
    <xf borderId="11" fillId="0" fontId="1" numFmtId="3" xfId="0" applyBorder="1" applyFont="1" applyNumberFormat="1"/>
    <xf borderId="10" fillId="0" fontId="7" numFmtId="164" xfId="0" applyAlignment="1" applyBorder="1" applyFont="1" applyNumberFormat="1">
      <alignment horizontal="center" readingOrder="0"/>
    </xf>
    <xf borderId="10" fillId="0" fontId="7" numFmtId="3" xfId="0" applyAlignment="1" applyBorder="1" applyFont="1" applyNumberFormat="1">
      <alignment horizontal="right" readingOrder="0"/>
    </xf>
    <xf borderId="10" fillId="0" fontId="2" numFmtId="0" xfId="0" applyAlignment="1" applyBorder="1" applyFont="1">
      <alignment horizontal="center" readingOrder="0"/>
    </xf>
    <xf borderId="11" fillId="0" fontId="2" numFmtId="3" xfId="0" applyBorder="1" applyFont="1" applyNumberFormat="1"/>
    <xf borderId="10" fillId="0" fontId="2" numFmtId="0" xfId="0" applyAlignment="1" applyBorder="1" applyFont="1">
      <alignment horizontal="left" vertical="center"/>
    </xf>
    <xf borderId="0" fillId="0" fontId="2" numFmtId="0" xfId="0" applyAlignment="1" applyFont="1">
      <alignment horizontal="left" readingOrder="0" shrinkToFit="0" vertical="top" wrapText="1"/>
    </xf>
    <xf borderId="10" fillId="2" fontId="7" numFmtId="164" xfId="0" applyAlignment="1" applyBorder="1" applyFill="1" applyFont="1" applyNumberFormat="1">
      <alignment horizontal="center" readingOrder="0"/>
    </xf>
    <xf borderId="10" fillId="0" fontId="2" numFmtId="0" xfId="0" applyAlignment="1" applyBorder="1" applyFont="1">
      <alignment readingOrder="0"/>
    </xf>
    <xf borderId="10" fillId="0" fontId="1" numFmtId="0" xfId="0" applyAlignment="1" applyBorder="1" applyFont="1">
      <alignment shrinkToFit="0" wrapText="1"/>
    </xf>
    <xf borderId="0" fillId="0" fontId="8" numFmtId="0" xfId="0" applyAlignment="1" applyFont="1">
      <alignment readingOrder="0"/>
    </xf>
    <xf borderId="10" fillId="0" fontId="7" numFmtId="0" xfId="0" applyAlignment="1" applyBorder="1" applyFont="1">
      <alignment horizontal="center" readingOrder="0"/>
    </xf>
    <xf borderId="10" fillId="2" fontId="7" numFmtId="0" xfId="0" applyAlignment="1" applyBorder="1" applyFont="1">
      <alignment horizontal="center" readingOrder="0"/>
    </xf>
    <xf borderId="10" fillId="0" fontId="1" numFmtId="0" xfId="0" applyAlignment="1" applyBorder="1" applyFont="1">
      <alignment shrinkToFit="0" vertical="center" wrapText="1"/>
    </xf>
    <xf borderId="0" fillId="0" fontId="9" numFmtId="0" xfId="0" applyFont="1"/>
    <xf borderId="10" fillId="0" fontId="1" numFmtId="0" xfId="0" applyAlignment="1" applyBorder="1" applyFont="1">
      <alignment vertical="center"/>
    </xf>
    <xf borderId="10" fillId="0" fontId="10" numFmtId="0" xfId="0" applyAlignment="1" applyBorder="1" applyFont="1">
      <alignment horizontal="center" readingOrder="0"/>
    </xf>
    <xf borderId="10" fillId="0" fontId="1" numFmtId="3" xfId="0" applyBorder="1" applyFont="1" applyNumberFormat="1"/>
    <xf borderId="0" fillId="0" fontId="1" numFmtId="0" xfId="0" applyAlignment="1" applyFont="1">
      <alignment horizontal="left" readingOrder="0" shrinkToFit="0" vertical="top" wrapText="1"/>
    </xf>
    <xf borderId="12" fillId="0" fontId="1" numFmtId="0" xfId="0" applyAlignment="1" applyBorder="1" applyFont="1">
      <alignment horizontal="right" vertical="top"/>
    </xf>
    <xf borderId="13"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2" fillId="0" fontId="1" numFmtId="0" xfId="0" applyAlignment="1" applyBorder="1" applyFont="1">
      <alignment horizontal="right" readingOrder="0" vertical="top"/>
    </xf>
    <xf borderId="10" fillId="0" fontId="10" numFmtId="0" xfId="0" applyAlignment="1" applyBorder="1" applyFont="1">
      <alignment horizontal="left" readingOrder="0"/>
    </xf>
    <xf borderId="14" fillId="0" fontId="7" numFmtId="0" xfId="0" applyAlignment="1" applyBorder="1" applyFont="1">
      <alignment horizontal="left"/>
    </xf>
    <xf borderId="10" fillId="0" fontId="10" numFmtId="3" xfId="0" applyAlignment="1" applyBorder="1" applyFont="1" applyNumberFormat="1">
      <alignment horizontal="right" readingOrder="0"/>
    </xf>
    <xf borderId="10" fillId="2" fontId="10" numFmtId="0" xfId="0" applyAlignment="1" applyBorder="1" applyFont="1">
      <alignment horizontal="left" readingOrder="0"/>
    </xf>
    <xf borderId="16" fillId="2" fontId="7" numFmtId="0" xfId="0" applyAlignment="1" applyBorder="1" applyFont="1">
      <alignment horizontal="left"/>
    </xf>
    <xf borderId="10" fillId="2" fontId="7" numFmtId="3" xfId="0" applyAlignment="1" applyBorder="1" applyFont="1" applyNumberFormat="1">
      <alignment horizontal="right" readingOrder="0"/>
    </xf>
    <xf borderId="10" fillId="2" fontId="7" numFmtId="0" xfId="0" applyAlignment="1" applyBorder="1" applyFont="1">
      <alignment horizontal="center" shrinkToFit="0" wrapText="0"/>
    </xf>
    <xf borderId="10" fillId="2" fontId="10" numFmtId="0" xfId="0" applyAlignment="1" applyBorder="1" applyFont="1">
      <alignment horizontal="right" readingOrder="0"/>
    </xf>
    <xf borderId="13" fillId="0" fontId="2" numFmtId="0" xfId="0" applyAlignment="1" applyBorder="1" applyFont="1">
      <alignment horizontal="center" shrinkToFit="0" vertical="center" wrapText="1"/>
    </xf>
    <xf borderId="0" fillId="0" fontId="2" numFmtId="3" xfId="0" applyAlignment="1" applyFont="1" applyNumberFormat="1">
      <alignment horizontal="center"/>
    </xf>
    <xf borderId="17" fillId="0" fontId="1" numFmtId="0" xfId="0" applyAlignment="1" applyBorder="1" applyFont="1">
      <alignment horizontal="center"/>
    </xf>
    <xf borderId="18" fillId="0" fontId="1" numFmtId="0" xfId="0" applyAlignment="1" applyBorder="1" applyFont="1">
      <alignment horizontal="center"/>
    </xf>
    <xf borderId="18" fillId="0" fontId="1" numFmtId="0" xfId="0" applyAlignment="1" applyBorder="1" applyFont="1">
      <alignment horizontal="center" vertical="center"/>
    </xf>
    <xf borderId="19" fillId="0" fontId="1" numFmtId="3" xfId="0" applyAlignment="1" applyBorder="1" applyFont="1" applyNumberFormat="1">
      <alignment horizontal="center"/>
    </xf>
    <xf borderId="13" fillId="0" fontId="3" numFmtId="0" xfId="0" applyAlignment="1" applyBorder="1" applyFont="1">
      <alignment shrinkToFit="0" vertical="center" wrapText="1"/>
    </xf>
    <xf borderId="20" fillId="0" fontId="4" numFmtId="0" xfId="0" applyBorder="1" applyFont="1"/>
    <xf borderId="21" fillId="0" fontId="3" numFmtId="0" xfId="0" applyAlignment="1" applyBorder="1" applyFont="1">
      <alignment horizontal="center" shrinkToFit="0" vertical="center" wrapText="1"/>
    </xf>
    <xf borderId="22" fillId="0" fontId="3" numFmtId="0" xfId="0" applyAlignment="1" applyBorder="1" applyFont="1">
      <alignment horizontal="center" shrinkToFit="0" vertical="center" wrapText="1"/>
    </xf>
    <xf borderId="22" fillId="0" fontId="3" numFmtId="0" xfId="0" applyAlignment="1" applyBorder="1" applyFont="1">
      <alignment horizontal="center" shrinkToFit="0" wrapText="1"/>
    </xf>
    <xf borderId="23" fillId="0" fontId="11" numFmtId="0" xfId="0" applyAlignment="1" applyBorder="1" applyFont="1">
      <alignment shrinkToFit="0" vertical="center" wrapText="1"/>
    </xf>
    <xf borderId="24" fillId="0" fontId="11" numFmtId="0" xfId="0" applyAlignment="1" applyBorder="1" applyFont="1">
      <alignment shrinkToFit="0" wrapText="1"/>
    </xf>
    <xf borderId="25" fillId="0" fontId="11" numFmtId="0" xfId="0" applyAlignment="1" applyBorder="1" applyFont="1">
      <alignment shrinkToFit="0" wrapText="1"/>
    </xf>
    <xf borderId="25" fillId="0" fontId="11" numFmtId="0" xfId="0" applyAlignment="1" applyBorder="1" applyFont="1">
      <alignment horizontal="center" shrinkToFit="0" wrapText="1"/>
    </xf>
    <xf borderId="26" fillId="0" fontId="11" numFmtId="0" xfId="0" applyAlignment="1" applyBorder="1" applyFont="1">
      <alignment shrinkToFit="0" vertical="center" wrapText="1"/>
    </xf>
    <xf borderId="13" fillId="0" fontId="1" numFmtId="0" xfId="0" applyAlignment="1" applyBorder="1" applyFont="1">
      <alignment horizontal="left" readingOrder="0"/>
    </xf>
    <xf borderId="13" fillId="0" fontId="1" numFmtId="0" xfId="0" applyAlignment="1" applyBorder="1" applyFont="1">
      <alignment horizontal="left"/>
    </xf>
    <xf borderId="27" fillId="0" fontId="3" numFmtId="0" xfId="0" applyAlignment="1" applyBorder="1" applyFont="1">
      <alignment shrinkToFit="0" vertical="center" wrapText="1"/>
    </xf>
    <xf borderId="28" fillId="0" fontId="4" numFmtId="0" xfId="0" applyBorder="1" applyFont="1"/>
    <xf borderId="29" fillId="0" fontId="4" numFmtId="0" xfId="0" applyBorder="1" applyFont="1"/>
    <xf borderId="30" fillId="0" fontId="3" numFmtId="0" xfId="0" applyAlignment="1" applyBorder="1" applyFont="1">
      <alignment horizontal="center" shrinkToFit="0" vertical="center" wrapText="1"/>
    </xf>
    <xf borderId="21" fillId="0" fontId="4" numFmtId="0" xfId="0" applyBorder="1" applyFont="1"/>
    <xf borderId="24" fillId="0" fontId="6" numFmtId="0" xfId="0" applyAlignment="1" applyBorder="1" applyFont="1">
      <alignment horizontal="center" shrinkToFit="0" vertical="center" wrapText="1"/>
    </xf>
    <xf borderId="25" fillId="0" fontId="6" numFmtId="0" xfId="0" applyAlignment="1" applyBorder="1" applyFont="1">
      <alignment shrinkToFit="0" vertical="center" wrapText="1"/>
    </xf>
    <xf borderId="30" fillId="0" fontId="6" numFmtId="0" xfId="0" applyAlignment="1" applyBorder="1" applyFont="1">
      <alignment horizontal="center" shrinkToFit="0" vertical="center" wrapText="1"/>
    </xf>
    <xf borderId="25" fillId="0" fontId="6" numFmtId="0" xfId="0" applyAlignment="1" applyBorder="1" applyFont="1">
      <alignment horizontal="center" shrinkToFit="0" vertical="center" wrapText="1"/>
    </xf>
    <xf borderId="25" fillId="0" fontId="6" numFmtId="3" xfId="0" applyAlignment="1" applyBorder="1" applyFont="1" applyNumberFormat="1">
      <alignment horizontal="right" shrinkToFit="0" vertical="center" wrapText="1"/>
    </xf>
    <xf borderId="25" fillId="0" fontId="3" numFmtId="3" xfId="0" applyAlignment="1" applyBorder="1" applyFont="1" applyNumberFormat="1">
      <alignment horizontal="center" shrinkToFit="0" vertical="center" wrapText="1"/>
    </xf>
    <xf borderId="31" fillId="0" fontId="4" numFmtId="0" xfId="0" applyBorder="1" applyFont="1"/>
    <xf borderId="32" fillId="0" fontId="6" numFmtId="0" xfId="0" applyAlignment="1" applyBorder="1" applyFont="1">
      <alignment horizontal="center" shrinkToFit="0" vertical="center" wrapText="1"/>
    </xf>
    <xf borderId="33" fillId="0" fontId="4" numFmtId="0" xfId="0" applyBorder="1" applyFont="1"/>
    <xf borderId="34" fillId="0" fontId="4" numFmtId="0" xfId="0" applyBorder="1" applyFont="1"/>
    <xf borderId="0" fillId="0" fontId="1" numFmtId="0" xfId="0" applyAlignment="1" applyFont="1">
      <alignment horizontal="left"/>
    </xf>
    <xf borderId="0" fillId="0" fontId="2" numFmtId="0" xfId="0" applyFont="1"/>
    <xf borderId="0" fillId="0" fontId="5" numFmtId="0" xfId="0" applyAlignment="1" applyFont="1">
      <alignment horizontal="center"/>
    </xf>
    <xf borderId="0" fillId="0" fontId="6"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40.71"/>
    <col customWidth="1" min="3" max="3" width="20.14"/>
    <col customWidth="1" min="4" max="6" width="8.86"/>
    <col customWidth="1" min="7" max="7" width="16.71"/>
    <col customWidth="1" min="8" max="8" width="11.14"/>
    <col customWidth="1" min="9" max="9" width="8.86"/>
    <col customWidth="1" min="10" max="26" width="8.71"/>
  </cols>
  <sheetData>
    <row r="1" ht="13.5" customHeight="1">
      <c r="A1" s="1" t="s">
        <v>0</v>
      </c>
      <c r="I1" s="2"/>
      <c r="J1" s="2"/>
      <c r="K1" s="2"/>
      <c r="L1" s="2"/>
      <c r="M1" s="2"/>
      <c r="N1" s="2"/>
      <c r="O1" s="2"/>
      <c r="P1" s="2"/>
      <c r="Q1" s="2"/>
      <c r="R1" s="2"/>
      <c r="S1" s="2"/>
      <c r="T1" s="2"/>
      <c r="U1" s="2"/>
      <c r="V1" s="2"/>
      <c r="W1" s="2"/>
      <c r="X1" s="2"/>
      <c r="Y1" s="2"/>
      <c r="Z1" s="2"/>
    </row>
    <row r="2" ht="33.75" customHeight="1">
      <c r="A2" s="3" t="s">
        <v>1</v>
      </c>
      <c r="I2" s="2"/>
      <c r="J2" s="2"/>
      <c r="K2" s="2"/>
      <c r="L2" s="2"/>
      <c r="M2" s="2"/>
      <c r="N2" s="2"/>
      <c r="O2" s="2"/>
      <c r="P2" s="2"/>
      <c r="Q2" s="2"/>
      <c r="R2" s="2"/>
      <c r="S2" s="2"/>
      <c r="T2" s="2"/>
      <c r="U2" s="2"/>
      <c r="V2" s="2"/>
      <c r="W2" s="2"/>
      <c r="X2" s="2"/>
      <c r="Y2" s="2"/>
      <c r="Z2" s="2"/>
    </row>
    <row r="3" ht="24.0" customHeight="1">
      <c r="A3" s="4" t="s">
        <v>2</v>
      </c>
      <c r="J3" s="2"/>
      <c r="K3" s="2"/>
      <c r="L3" s="2"/>
      <c r="M3" s="2"/>
      <c r="N3" s="2"/>
      <c r="O3" s="2"/>
      <c r="P3" s="2"/>
      <c r="Q3" s="2"/>
      <c r="R3" s="2"/>
      <c r="S3" s="2"/>
      <c r="T3" s="2"/>
      <c r="U3" s="2"/>
      <c r="V3" s="2"/>
      <c r="W3" s="2"/>
      <c r="X3" s="2"/>
      <c r="Y3" s="2"/>
      <c r="Z3" s="2"/>
    </row>
    <row r="4" ht="13.5" customHeight="1">
      <c r="A4" s="5" t="s">
        <v>3</v>
      </c>
      <c r="B4" s="6"/>
      <c r="C4" s="6"/>
      <c r="D4" s="6"/>
      <c r="E4" s="6"/>
      <c r="F4" s="6"/>
      <c r="G4" s="6"/>
      <c r="H4" s="7"/>
      <c r="I4" s="2"/>
      <c r="J4" s="2"/>
      <c r="K4" s="2"/>
      <c r="L4" s="2"/>
      <c r="M4" s="2"/>
      <c r="N4" s="2"/>
      <c r="O4" s="2"/>
      <c r="P4" s="2"/>
      <c r="Q4" s="2"/>
      <c r="R4" s="2"/>
      <c r="S4" s="2"/>
      <c r="T4" s="2"/>
      <c r="U4" s="2"/>
      <c r="V4" s="2"/>
      <c r="W4" s="2"/>
      <c r="X4" s="2"/>
      <c r="Y4" s="2"/>
      <c r="Z4" s="2"/>
    </row>
    <row r="5" ht="13.5" customHeight="1">
      <c r="A5" s="2"/>
      <c r="I5" s="2"/>
      <c r="J5" s="2"/>
      <c r="K5" s="2"/>
      <c r="L5" s="2"/>
      <c r="M5" s="2"/>
      <c r="N5" s="2"/>
      <c r="O5" s="2"/>
      <c r="P5" s="2"/>
      <c r="Q5" s="2"/>
      <c r="R5" s="2"/>
      <c r="S5" s="2"/>
      <c r="T5" s="2"/>
      <c r="U5" s="2"/>
      <c r="V5" s="2"/>
      <c r="W5" s="2"/>
      <c r="X5" s="2"/>
      <c r="Y5" s="2"/>
      <c r="Z5" s="2"/>
    </row>
    <row r="6" ht="30.0" customHeight="1">
      <c r="A6" s="8" t="s">
        <v>4</v>
      </c>
      <c r="B6" s="9" t="s">
        <v>5</v>
      </c>
      <c r="C6" s="9" t="s">
        <v>6</v>
      </c>
      <c r="D6" s="10" t="s">
        <v>7</v>
      </c>
      <c r="E6" s="9" t="s">
        <v>8</v>
      </c>
      <c r="F6" s="9" t="s">
        <v>9</v>
      </c>
      <c r="G6" s="11" t="s">
        <v>10</v>
      </c>
      <c r="H6" s="12"/>
      <c r="I6" s="2"/>
      <c r="J6" s="2"/>
      <c r="K6" s="2"/>
      <c r="L6" s="2"/>
      <c r="M6" s="2"/>
      <c r="N6" s="2"/>
      <c r="O6" s="2"/>
      <c r="P6" s="2"/>
      <c r="Q6" s="2"/>
      <c r="R6" s="2"/>
      <c r="S6" s="2"/>
      <c r="T6" s="2"/>
      <c r="U6" s="2"/>
      <c r="V6" s="2"/>
      <c r="W6" s="2"/>
      <c r="X6" s="2"/>
      <c r="Y6" s="2"/>
      <c r="Z6" s="2"/>
    </row>
    <row r="7" ht="90.75" customHeight="1">
      <c r="A7" s="13"/>
      <c r="B7" s="14"/>
      <c r="C7" s="14"/>
      <c r="D7" s="14"/>
      <c r="E7" s="14"/>
      <c r="F7" s="14"/>
      <c r="G7" s="15" t="s">
        <v>11</v>
      </c>
      <c r="H7" s="16" t="s">
        <v>12</v>
      </c>
      <c r="I7" s="2"/>
      <c r="J7" s="2"/>
      <c r="K7" s="2"/>
      <c r="L7" s="2"/>
      <c r="M7" s="2"/>
      <c r="N7" s="2"/>
      <c r="O7" s="2"/>
      <c r="P7" s="2"/>
      <c r="Q7" s="2"/>
      <c r="R7" s="2"/>
      <c r="S7" s="2"/>
      <c r="T7" s="2"/>
      <c r="U7" s="2"/>
      <c r="V7" s="2"/>
      <c r="W7" s="2"/>
      <c r="X7" s="2"/>
      <c r="Y7" s="2"/>
      <c r="Z7" s="2"/>
    </row>
    <row r="8" ht="13.5" customHeight="1">
      <c r="A8" s="17">
        <v>1.0</v>
      </c>
      <c r="B8" s="18">
        <v>2.0</v>
      </c>
      <c r="C8" s="18">
        <v>3.0</v>
      </c>
      <c r="D8" s="15">
        <v>4.0</v>
      </c>
      <c r="E8" s="18">
        <v>5.0</v>
      </c>
      <c r="F8" s="18">
        <v>6.0</v>
      </c>
      <c r="G8" s="15">
        <v>7.0</v>
      </c>
      <c r="H8" s="19" t="s">
        <v>13</v>
      </c>
      <c r="I8" s="2"/>
      <c r="J8" s="2"/>
      <c r="K8" s="2"/>
      <c r="L8" s="2"/>
      <c r="M8" s="2"/>
      <c r="N8" s="2"/>
      <c r="O8" s="2"/>
      <c r="P8" s="2"/>
      <c r="Q8" s="2"/>
      <c r="R8" s="2"/>
      <c r="S8" s="2"/>
      <c r="T8" s="2"/>
      <c r="U8" s="2"/>
      <c r="V8" s="2"/>
      <c r="W8" s="2"/>
      <c r="X8" s="2"/>
      <c r="Y8" s="2"/>
      <c r="Z8" s="2"/>
    </row>
    <row r="9" ht="30.75" customHeight="1">
      <c r="A9" s="20" t="s">
        <v>14</v>
      </c>
      <c r="B9" s="21" t="s">
        <v>15</v>
      </c>
      <c r="C9" s="22" t="s">
        <v>16</v>
      </c>
      <c r="D9" s="23"/>
      <c r="E9" s="23"/>
      <c r="F9" s="23"/>
      <c r="G9" s="23"/>
      <c r="H9" s="24"/>
      <c r="I9" s="2"/>
      <c r="J9" s="2"/>
      <c r="K9" s="2"/>
      <c r="L9" s="2"/>
      <c r="M9" s="2"/>
      <c r="N9" s="2"/>
      <c r="O9" s="2"/>
      <c r="P9" s="2"/>
      <c r="Q9" s="2"/>
      <c r="R9" s="2"/>
      <c r="S9" s="2"/>
      <c r="T9" s="2"/>
      <c r="U9" s="2"/>
      <c r="V9" s="2"/>
      <c r="W9" s="2"/>
      <c r="X9" s="2"/>
      <c r="Y9" s="2"/>
      <c r="Z9" s="2"/>
    </row>
    <row r="10" ht="24.75" customHeight="1">
      <c r="A10" s="20" t="s">
        <v>17</v>
      </c>
      <c r="B10" s="21" t="s">
        <v>18</v>
      </c>
      <c r="C10" s="25"/>
      <c r="D10" s="26"/>
      <c r="E10" s="25"/>
      <c r="F10" s="25"/>
      <c r="G10" s="27"/>
      <c r="H10" s="28"/>
      <c r="I10" s="2"/>
      <c r="J10" s="2"/>
      <c r="K10" s="2"/>
      <c r="L10" s="2"/>
      <c r="M10" s="2"/>
      <c r="N10" s="2"/>
      <c r="O10" s="2"/>
      <c r="P10" s="2"/>
      <c r="Q10" s="2"/>
      <c r="R10" s="2"/>
      <c r="S10" s="2"/>
      <c r="T10" s="2"/>
      <c r="U10" s="2"/>
      <c r="V10" s="2"/>
      <c r="W10" s="2"/>
      <c r="X10" s="2"/>
      <c r="Y10" s="2"/>
      <c r="Z10" s="2"/>
    </row>
    <row r="11">
      <c r="A11" s="29">
        <v>1.0</v>
      </c>
      <c r="B11" s="30" t="s">
        <v>19</v>
      </c>
      <c r="C11" s="31"/>
      <c r="D11" s="32"/>
      <c r="E11" s="33"/>
      <c r="F11" s="33"/>
      <c r="G11" s="34"/>
      <c r="H11" s="35">
        <f>SUM(H12:H13)</f>
        <v>300000</v>
      </c>
      <c r="I11" s="1"/>
      <c r="J11" s="1"/>
      <c r="K11" s="1"/>
      <c r="L11" s="1"/>
      <c r="M11" s="1"/>
      <c r="N11" s="1"/>
      <c r="O11" s="1"/>
      <c r="P11" s="1"/>
      <c r="Q11" s="1"/>
      <c r="R11" s="1"/>
      <c r="S11" s="1"/>
      <c r="T11" s="1"/>
      <c r="U11" s="1"/>
      <c r="V11" s="1"/>
      <c r="W11" s="1"/>
      <c r="X11" s="1"/>
      <c r="Y11" s="1"/>
      <c r="Z11" s="1"/>
    </row>
    <row r="12" ht="15.0" customHeight="1">
      <c r="A12" s="20"/>
      <c r="B12" s="21" t="s">
        <v>20</v>
      </c>
      <c r="C12" s="25" t="s">
        <v>21</v>
      </c>
      <c r="D12" s="36">
        <v>0.8</v>
      </c>
      <c r="E12" s="25">
        <v>1.0</v>
      </c>
      <c r="F12" s="37">
        <v>500000.0</v>
      </c>
      <c r="G12" s="38">
        <v>0.5</v>
      </c>
      <c r="H12" s="39">
        <f t="shared" ref="H12:H13" si="1">D12*F12*G12</f>
        <v>200000</v>
      </c>
      <c r="I12" s="2"/>
      <c r="J12" s="2"/>
      <c r="K12" s="2"/>
      <c r="L12" s="2"/>
      <c r="M12" s="2"/>
      <c r="N12" s="2"/>
      <c r="O12" s="2"/>
      <c r="P12" s="2"/>
      <c r="Q12" s="2"/>
      <c r="R12" s="2"/>
      <c r="S12" s="2"/>
      <c r="T12" s="2"/>
      <c r="U12" s="2"/>
      <c r="V12" s="2"/>
      <c r="W12" s="2"/>
      <c r="X12" s="2"/>
      <c r="Y12" s="2"/>
      <c r="Z12" s="2"/>
    </row>
    <row r="13" ht="33.0" customHeight="1">
      <c r="A13" s="20"/>
      <c r="B13" s="40" t="s">
        <v>22</v>
      </c>
      <c r="C13" s="41" t="s">
        <v>23</v>
      </c>
      <c r="D13" s="42">
        <v>0.4</v>
      </c>
      <c r="E13" s="43">
        <v>2.0</v>
      </c>
      <c r="F13" s="37">
        <v>500000.0</v>
      </c>
      <c r="G13" s="38">
        <v>0.5</v>
      </c>
      <c r="H13" s="39">
        <f t="shared" si="1"/>
        <v>100000</v>
      </c>
      <c r="I13" s="2"/>
      <c r="J13" s="2"/>
      <c r="K13" s="2"/>
      <c r="L13" s="2"/>
      <c r="M13" s="2"/>
      <c r="N13" s="2"/>
      <c r="O13" s="2"/>
      <c r="P13" s="2"/>
      <c r="Q13" s="2"/>
      <c r="R13" s="2"/>
      <c r="S13" s="2"/>
      <c r="T13" s="2"/>
      <c r="U13" s="2"/>
      <c r="V13" s="2"/>
      <c r="W13" s="2"/>
      <c r="X13" s="2"/>
      <c r="Y13" s="2"/>
      <c r="Z13" s="2"/>
    </row>
    <row r="14" ht="72.75" customHeight="1">
      <c r="A14" s="29">
        <v>2.0</v>
      </c>
      <c r="B14" s="44" t="s">
        <v>24</v>
      </c>
      <c r="C14" s="33"/>
      <c r="D14" s="32"/>
      <c r="E14" s="33"/>
      <c r="F14" s="33"/>
      <c r="G14" s="34"/>
      <c r="H14" s="35">
        <f>SUM(H15:H16)</f>
        <v>600000</v>
      </c>
      <c r="I14" s="1"/>
      <c r="J14" s="1"/>
      <c r="K14" s="1"/>
      <c r="L14" s="1"/>
      <c r="M14" s="1"/>
      <c r="N14" s="1"/>
      <c r="O14" s="1"/>
      <c r="P14" s="1"/>
      <c r="Q14" s="1"/>
      <c r="R14" s="1"/>
      <c r="S14" s="1"/>
      <c r="T14" s="1"/>
      <c r="U14" s="1"/>
      <c r="V14" s="1"/>
      <c r="W14" s="1"/>
      <c r="X14" s="1"/>
      <c r="Y14" s="1"/>
      <c r="Z14" s="1"/>
    </row>
    <row r="15" ht="15.0" customHeight="1">
      <c r="A15" s="20"/>
      <c r="B15" s="25" t="s">
        <v>20</v>
      </c>
      <c r="C15" s="45" t="s">
        <v>25</v>
      </c>
      <c r="D15" s="46">
        <v>0.8</v>
      </c>
      <c r="E15" s="25">
        <v>1.0</v>
      </c>
      <c r="F15" s="37">
        <v>500000.0</v>
      </c>
      <c r="G15" s="27">
        <v>1.0</v>
      </c>
      <c r="H15" s="39">
        <f t="shared" ref="H15:H16" si="2">D15*F15*G15</f>
        <v>400000</v>
      </c>
      <c r="I15" s="2"/>
      <c r="J15" s="2"/>
      <c r="K15" s="2"/>
      <c r="L15" s="2"/>
      <c r="M15" s="2"/>
      <c r="N15" s="2"/>
      <c r="O15" s="2"/>
      <c r="P15" s="2"/>
      <c r="Q15" s="2"/>
      <c r="R15" s="2"/>
      <c r="S15" s="2"/>
      <c r="T15" s="2"/>
      <c r="U15" s="2"/>
      <c r="V15" s="2"/>
      <c r="W15" s="2"/>
      <c r="X15" s="2"/>
      <c r="Y15" s="2"/>
      <c r="Z15" s="2"/>
    </row>
    <row r="16" ht="45.75" customHeight="1">
      <c r="A16" s="20"/>
      <c r="B16" s="21" t="s">
        <v>26</v>
      </c>
      <c r="C16" s="41" t="s">
        <v>27</v>
      </c>
      <c r="D16" s="47">
        <v>0.4</v>
      </c>
      <c r="E16" s="43">
        <v>2.0</v>
      </c>
      <c r="F16" s="37">
        <v>500000.0</v>
      </c>
      <c r="G16" s="27">
        <v>1.0</v>
      </c>
      <c r="H16" s="39">
        <f t="shared" si="2"/>
        <v>200000</v>
      </c>
      <c r="I16" s="2"/>
      <c r="J16" s="2"/>
      <c r="K16" s="2"/>
      <c r="L16" s="2"/>
      <c r="M16" s="2"/>
      <c r="N16" s="2"/>
      <c r="O16" s="2"/>
      <c r="P16" s="2"/>
      <c r="Q16" s="2"/>
      <c r="R16" s="2"/>
      <c r="S16" s="2"/>
      <c r="T16" s="2"/>
      <c r="U16" s="2"/>
      <c r="V16" s="2"/>
      <c r="W16" s="2"/>
      <c r="X16" s="2"/>
      <c r="Y16" s="2"/>
      <c r="Z16" s="2"/>
    </row>
    <row r="17" ht="59.25" customHeight="1">
      <c r="A17" s="29">
        <v>3.0</v>
      </c>
      <c r="B17" s="48" t="s">
        <v>28</v>
      </c>
      <c r="C17" s="49"/>
      <c r="D17" s="32"/>
      <c r="E17" s="33"/>
      <c r="F17" s="33"/>
      <c r="G17" s="34"/>
      <c r="H17" s="35">
        <f>SUM(H18:H19)</f>
        <v>600000</v>
      </c>
      <c r="I17" s="1"/>
      <c r="J17" s="1"/>
      <c r="K17" s="1"/>
      <c r="L17" s="1"/>
      <c r="M17" s="1"/>
      <c r="N17" s="1"/>
      <c r="O17" s="1"/>
      <c r="P17" s="1"/>
      <c r="Q17" s="1"/>
      <c r="R17" s="1"/>
      <c r="S17" s="1"/>
      <c r="T17" s="1"/>
      <c r="U17" s="1"/>
      <c r="V17" s="1"/>
      <c r="W17" s="1"/>
      <c r="X17" s="1"/>
      <c r="Y17" s="1"/>
      <c r="Z17" s="1"/>
    </row>
    <row r="18" ht="13.5" customHeight="1">
      <c r="A18" s="20"/>
      <c r="B18" s="25" t="s">
        <v>20</v>
      </c>
      <c r="C18" s="25" t="s">
        <v>21</v>
      </c>
      <c r="D18" s="46">
        <v>0.8</v>
      </c>
      <c r="E18" s="25">
        <v>1.0</v>
      </c>
      <c r="F18" s="37">
        <v>500000.0</v>
      </c>
      <c r="G18" s="38">
        <v>1.0</v>
      </c>
      <c r="H18" s="39">
        <f t="shared" ref="H18:H19" si="3">D18*F18*G18</f>
        <v>400000</v>
      </c>
      <c r="I18" s="2"/>
      <c r="J18" s="2"/>
      <c r="K18" s="2"/>
      <c r="L18" s="2"/>
      <c r="M18" s="2"/>
      <c r="N18" s="2"/>
      <c r="O18" s="2"/>
      <c r="P18" s="2"/>
      <c r="Q18" s="2"/>
      <c r="R18" s="2"/>
      <c r="S18" s="2"/>
      <c r="T18" s="2"/>
      <c r="U18" s="2"/>
      <c r="V18" s="2"/>
      <c r="W18" s="2"/>
      <c r="X18" s="2"/>
      <c r="Y18" s="2"/>
      <c r="Z18" s="2"/>
    </row>
    <row r="19" ht="44.25" customHeight="1">
      <c r="A19" s="20"/>
      <c r="B19" s="40" t="s">
        <v>22</v>
      </c>
      <c r="C19" s="41" t="s">
        <v>29</v>
      </c>
      <c r="D19" s="47">
        <v>0.4</v>
      </c>
      <c r="E19" s="43">
        <v>2.0</v>
      </c>
      <c r="F19" s="37">
        <v>500000.0</v>
      </c>
      <c r="G19" s="38">
        <v>1.0</v>
      </c>
      <c r="H19" s="39">
        <f t="shared" si="3"/>
        <v>200000</v>
      </c>
      <c r="I19" s="2"/>
      <c r="J19" s="2"/>
      <c r="K19" s="2"/>
      <c r="L19" s="2"/>
      <c r="M19" s="2"/>
      <c r="N19" s="2"/>
      <c r="O19" s="2"/>
      <c r="P19" s="2"/>
      <c r="Q19" s="2"/>
      <c r="R19" s="2"/>
      <c r="S19" s="2"/>
      <c r="T19" s="2"/>
      <c r="U19" s="2"/>
      <c r="V19" s="2"/>
      <c r="W19" s="2"/>
      <c r="X19" s="2"/>
      <c r="Y19" s="2"/>
      <c r="Z19" s="2"/>
    </row>
    <row r="20" ht="58.5" customHeight="1">
      <c r="A20" s="29">
        <v>4.0</v>
      </c>
      <c r="B20" s="48" t="s">
        <v>30</v>
      </c>
      <c r="C20" s="33"/>
      <c r="D20" s="32"/>
      <c r="E20" s="33"/>
      <c r="F20" s="33"/>
      <c r="G20" s="34"/>
      <c r="H20" s="35">
        <f>SUM(H21:H22)</f>
        <v>300000</v>
      </c>
      <c r="I20" s="1"/>
      <c r="J20" s="1"/>
      <c r="K20" s="1"/>
      <c r="L20" s="1"/>
      <c r="M20" s="1"/>
      <c r="N20" s="1"/>
      <c r="O20" s="1"/>
      <c r="P20" s="1"/>
      <c r="Q20" s="1"/>
      <c r="R20" s="1"/>
      <c r="S20" s="1"/>
      <c r="T20" s="1"/>
      <c r="U20" s="1"/>
      <c r="V20" s="1"/>
      <c r="W20" s="1"/>
      <c r="X20" s="1"/>
      <c r="Y20" s="1"/>
      <c r="Z20" s="1"/>
    </row>
    <row r="21" ht="14.25" customHeight="1">
      <c r="A21" s="20"/>
      <c r="B21" s="25" t="s">
        <v>20</v>
      </c>
      <c r="C21" s="25" t="s">
        <v>21</v>
      </c>
      <c r="D21" s="46">
        <v>0.8</v>
      </c>
      <c r="E21" s="25">
        <v>1.0</v>
      </c>
      <c r="F21" s="37">
        <v>500000.0</v>
      </c>
      <c r="G21" s="38">
        <v>0.5</v>
      </c>
      <c r="H21" s="39">
        <f t="shared" ref="H21:H22" si="4">D21*F21*G21</f>
        <v>200000</v>
      </c>
      <c r="I21" s="2"/>
      <c r="J21" s="2"/>
      <c r="K21" s="2"/>
      <c r="L21" s="2"/>
      <c r="M21" s="2"/>
      <c r="N21" s="2"/>
      <c r="O21" s="2"/>
      <c r="P21" s="2"/>
      <c r="Q21" s="2"/>
      <c r="R21" s="2"/>
      <c r="S21" s="2"/>
      <c r="T21" s="2"/>
      <c r="U21" s="2"/>
      <c r="V21" s="2"/>
      <c r="W21" s="2"/>
      <c r="X21" s="2"/>
      <c r="Y21" s="2"/>
      <c r="Z21" s="2"/>
    </row>
    <row r="22" ht="33.75" customHeight="1">
      <c r="A22" s="20"/>
      <c r="B22" s="25" t="s">
        <v>22</v>
      </c>
      <c r="C22" s="41" t="s">
        <v>27</v>
      </c>
      <c r="D22" s="47">
        <v>0.4</v>
      </c>
      <c r="E22" s="43">
        <v>2.0</v>
      </c>
      <c r="F22" s="37">
        <v>500000.0</v>
      </c>
      <c r="G22" s="38">
        <v>0.5</v>
      </c>
      <c r="H22" s="39">
        <f t="shared" si="4"/>
        <v>100000</v>
      </c>
      <c r="I22" s="2"/>
      <c r="J22" s="2"/>
      <c r="K22" s="2"/>
      <c r="L22" s="2"/>
      <c r="M22" s="2"/>
      <c r="N22" s="2"/>
      <c r="O22" s="2"/>
      <c r="P22" s="2"/>
      <c r="Q22" s="2"/>
      <c r="R22" s="2"/>
      <c r="S22" s="2"/>
      <c r="T22" s="2"/>
      <c r="U22" s="2"/>
      <c r="V22" s="2"/>
      <c r="W22" s="2"/>
      <c r="X22" s="2"/>
      <c r="Y22" s="2"/>
      <c r="Z22" s="2"/>
    </row>
    <row r="23" ht="62.25" customHeight="1">
      <c r="A23" s="29">
        <v>5.0</v>
      </c>
      <c r="B23" s="44" t="s">
        <v>31</v>
      </c>
      <c r="C23" s="50"/>
      <c r="D23" s="51"/>
      <c r="E23" s="33"/>
      <c r="F23" s="52"/>
      <c r="G23" s="34"/>
      <c r="H23" s="35">
        <f>SUM(H24:H25)</f>
        <v>300000</v>
      </c>
      <c r="I23" s="1"/>
      <c r="J23" s="1"/>
      <c r="K23" s="1"/>
      <c r="L23" s="1"/>
      <c r="M23" s="1"/>
      <c r="N23" s="1"/>
      <c r="O23" s="1"/>
      <c r="P23" s="1"/>
      <c r="Q23" s="1"/>
      <c r="R23" s="1"/>
      <c r="S23" s="1"/>
      <c r="T23" s="1"/>
      <c r="U23" s="1"/>
      <c r="V23" s="1"/>
      <c r="W23" s="1"/>
      <c r="X23" s="1"/>
      <c r="Y23" s="1"/>
      <c r="Z23" s="1"/>
    </row>
    <row r="24">
      <c r="A24" s="29"/>
      <c r="B24" s="25" t="s">
        <v>20</v>
      </c>
      <c r="C24" s="21" t="s">
        <v>21</v>
      </c>
      <c r="D24" s="46">
        <v>0.8</v>
      </c>
      <c r="E24" s="43">
        <v>1.0</v>
      </c>
      <c r="F24" s="37">
        <v>500000.0</v>
      </c>
      <c r="G24" s="38">
        <v>0.5</v>
      </c>
      <c r="H24" s="39">
        <f t="shared" ref="H24:H25" si="5">D24*F24*G24</f>
        <v>200000</v>
      </c>
      <c r="I24" s="2"/>
      <c r="J24" s="2"/>
      <c r="K24" s="2"/>
      <c r="L24" s="2"/>
      <c r="M24" s="2"/>
      <c r="N24" s="2"/>
      <c r="O24" s="2"/>
      <c r="P24" s="2"/>
      <c r="Q24" s="2"/>
      <c r="R24" s="2"/>
      <c r="S24" s="2"/>
      <c r="T24" s="2"/>
      <c r="U24" s="2"/>
      <c r="V24" s="2"/>
      <c r="W24" s="2"/>
      <c r="X24" s="2"/>
      <c r="Y24" s="2"/>
      <c r="Z24" s="2"/>
    </row>
    <row r="25">
      <c r="A25" s="29"/>
      <c r="B25" s="25" t="s">
        <v>22</v>
      </c>
      <c r="C25" s="41" t="s">
        <v>32</v>
      </c>
      <c r="D25" s="47">
        <v>0.4</v>
      </c>
      <c r="E25" s="43">
        <v>2.0</v>
      </c>
      <c r="F25" s="37">
        <v>500000.0</v>
      </c>
      <c r="G25" s="38">
        <v>0.5</v>
      </c>
      <c r="H25" s="39">
        <f t="shared" si="5"/>
        <v>100000</v>
      </c>
      <c r="I25" s="2"/>
      <c r="J25" s="2"/>
      <c r="K25" s="2"/>
      <c r="L25" s="2"/>
      <c r="M25" s="2"/>
      <c r="N25" s="2"/>
      <c r="O25" s="2"/>
      <c r="P25" s="2"/>
      <c r="Q25" s="2"/>
      <c r="R25" s="2"/>
      <c r="S25" s="2"/>
      <c r="T25" s="2"/>
      <c r="U25" s="2"/>
      <c r="V25" s="2"/>
      <c r="W25" s="2"/>
      <c r="X25" s="2"/>
      <c r="Y25" s="2"/>
      <c r="Z25" s="2"/>
    </row>
    <row r="26">
      <c r="A26" s="29">
        <v>6.0</v>
      </c>
      <c r="B26" s="30" t="s">
        <v>33</v>
      </c>
      <c r="C26" s="53"/>
      <c r="D26" s="51"/>
      <c r="E26" s="33"/>
      <c r="F26" s="52"/>
      <c r="G26" s="34"/>
      <c r="H26" s="35">
        <f>SUM(H27:H28)</f>
        <v>300000</v>
      </c>
      <c r="I26" s="1"/>
      <c r="J26" s="1"/>
      <c r="K26" s="1"/>
      <c r="L26" s="1"/>
      <c r="M26" s="1"/>
      <c r="N26" s="1"/>
      <c r="O26" s="1"/>
      <c r="P26" s="1"/>
      <c r="Q26" s="1"/>
      <c r="R26" s="1"/>
      <c r="S26" s="1"/>
      <c r="T26" s="1"/>
      <c r="U26" s="1"/>
      <c r="V26" s="1"/>
      <c r="W26" s="1"/>
      <c r="X26" s="1"/>
      <c r="Y26" s="1"/>
      <c r="Z26" s="1"/>
    </row>
    <row r="27" ht="22.5" customHeight="1">
      <c r="A27" s="54"/>
      <c r="B27" s="25" t="s">
        <v>20</v>
      </c>
      <c r="C27" s="21" t="s">
        <v>21</v>
      </c>
      <c r="D27" s="46">
        <v>0.8</v>
      </c>
      <c r="E27" s="55">
        <v>1.0</v>
      </c>
      <c r="F27" s="37">
        <v>500000.0</v>
      </c>
      <c r="G27" s="55">
        <v>0.5</v>
      </c>
      <c r="H27" s="39">
        <f t="shared" ref="H27:H28" si="6">D27*F27*G27</f>
        <v>200000</v>
      </c>
      <c r="I27" s="2"/>
      <c r="J27" s="2"/>
      <c r="K27" s="2"/>
      <c r="L27" s="2"/>
      <c r="M27" s="2"/>
      <c r="N27" s="2"/>
      <c r="O27" s="2"/>
      <c r="P27" s="2"/>
      <c r="Q27" s="2"/>
      <c r="R27" s="2"/>
      <c r="S27" s="2"/>
      <c r="T27" s="2"/>
      <c r="U27" s="2"/>
      <c r="V27" s="2"/>
      <c r="W27" s="2"/>
      <c r="X27" s="2"/>
      <c r="Y27" s="2"/>
      <c r="Z27" s="2"/>
    </row>
    <row r="28" ht="38.25" customHeight="1">
      <c r="A28" s="54"/>
      <c r="B28" s="25" t="s">
        <v>22</v>
      </c>
      <c r="C28" s="56" t="s">
        <v>27</v>
      </c>
      <c r="D28" s="47">
        <v>0.4</v>
      </c>
      <c r="E28" s="55">
        <v>2.0</v>
      </c>
      <c r="F28" s="37">
        <v>500000.0</v>
      </c>
      <c r="G28" s="55">
        <v>0.5</v>
      </c>
      <c r="H28" s="39">
        <f t="shared" si="6"/>
        <v>100000</v>
      </c>
      <c r="I28" s="2"/>
      <c r="J28" s="2"/>
      <c r="K28" s="2"/>
      <c r="L28" s="2"/>
      <c r="M28" s="2"/>
      <c r="N28" s="2"/>
      <c r="O28" s="2"/>
      <c r="P28" s="2"/>
      <c r="Q28" s="2"/>
      <c r="R28" s="2"/>
      <c r="S28" s="2"/>
      <c r="T28" s="2"/>
      <c r="U28" s="2"/>
      <c r="V28" s="2"/>
      <c r="W28" s="2"/>
      <c r="X28" s="2"/>
      <c r="Y28" s="2"/>
      <c r="Z28" s="2"/>
    </row>
    <row r="29" ht="21.75" customHeight="1">
      <c r="A29" s="57">
        <v>7.0</v>
      </c>
      <c r="B29" s="58" t="s">
        <v>34</v>
      </c>
      <c r="C29" s="59"/>
      <c r="D29" s="46">
        <v>1.0</v>
      </c>
      <c r="E29" s="46">
        <v>1.0</v>
      </c>
      <c r="F29" s="37">
        <v>500000.0</v>
      </c>
      <c r="G29" s="46">
        <v>1.0</v>
      </c>
      <c r="H29" s="60">
        <v>700000.0</v>
      </c>
      <c r="I29" s="2"/>
      <c r="J29" s="2"/>
      <c r="K29" s="2"/>
      <c r="L29" s="2"/>
      <c r="M29" s="2"/>
      <c r="N29" s="2"/>
      <c r="O29" s="2"/>
      <c r="P29" s="2"/>
      <c r="Q29" s="2"/>
      <c r="R29" s="2"/>
      <c r="S29" s="2"/>
      <c r="T29" s="2"/>
      <c r="U29" s="2"/>
      <c r="V29" s="2"/>
      <c r="W29" s="2"/>
      <c r="X29" s="2"/>
      <c r="Y29" s="2"/>
      <c r="Z29" s="2"/>
    </row>
    <row r="30" ht="20.25" customHeight="1">
      <c r="A30" s="57">
        <v>8.0</v>
      </c>
      <c r="B30" s="61" t="s">
        <v>35</v>
      </c>
      <c r="C30" s="62"/>
      <c r="D30" s="47">
        <v>0.3</v>
      </c>
      <c r="E30" s="47">
        <v>1.0</v>
      </c>
      <c r="F30" s="63">
        <v>500000.0</v>
      </c>
      <c r="G30" s="64"/>
      <c r="H30" s="65">
        <v>0.0</v>
      </c>
      <c r="I30" s="2"/>
      <c r="J30" s="2"/>
      <c r="K30" s="2"/>
      <c r="L30" s="2"/>
      <c r="M30" s="2"/>
      <c r="N30" s="2"/>
      <c r="O30" s="2"/>
      <c r="P30" s="2"/>
      <c r="Q30" s="2"/>
      <c r="R30" s="2"/>
      <c r="S30" s="2"/>
      <c r="T30" s="2"/>
      <c r="U30" s="2"/>
      <c r="V30" s="2"/>
      <c r="W30" s="2"/>
      <c r="X30" s="2"/>
      <c r="Y30" s="2"/>
      <c r="Z30" s="2"/>
    </row>
    <row r="31" ht="39.75" customHeight="1">
      <c r="A31" s="57">
        <v>9.0</v>
      </c>
      <c r="B31" s="32" t="s">
        <v>36</v>
      </c>
      <c r="C31" s="66" t="s">
        <v>16</v>
      </c>
      <c r="D31" s="23"/>
      <c r="E31" s="23"/>
      <c r="F31" s="23"/>
      <c r="G31" s="23"/>
      <c r="H31" s="24"/>
      <c r="I31" s="2"/>
      <c r="J31" s="2"/>
      <c r="K31" s="67">
        <f>H32+20000+680000+200000</f>
        <v>4000000</v>
      </c>
      <c r="L31" s="2"/>
      <c r="M31" s="2"/>
      <c r="N31" s="2"/>
      <c r="O31" s="2"/>
      <c r="P31" s="2"/>
      <c r="Q31" s="2"/>
      <c r="R31" s="2"/>
      <c r="S31" s="2"/>
      <c r="T31" s="2"/>
      <c r="U31" s="2"/>
      <c r="V31" s="2"/>
      <c r="W31" s="2"/>
      <c r="X31" s="2"/>
      <c r="Y31" s="2"/>
      <c r="Z31" s="2"/>
    </row>
    <row r="32" ht="15.75" customHeight="1">
      <c r="A32" s="68"/>
      <c r="B32" s="69" t="s">
        <v>37</v>
      </c>
      <c r="C32" s="69"/>
      <c r="D32" s="70"/>
      <c r="E32" s="69"/>
      <c r="F32" s="69"/>
      <c r="G32" s="69"/>
      <c r="H32" s="71">
        <f>H29+H26+H23+H20+H17+H14+H11</f>
        <v>3100000</v>
      </c>
      <c r="I32" s="1"/>
      <c r="J32" s="1"/>
      <c r="K32" s="1"/>
      <c r="L32" s="1"/>
      <c r="M32" s="1"/>
      <c r="N32" s="1"/>
      <c r="O32" s="1"/>
      <c r="P32" s="1"/>
      <c r="Q32" s="1"/>
      <c r="R32" s="1"/>
      <c r="S32" s="1"/>
      <c r="T32" s="1"/>
      <c r="U32" s="1"/>
      <c r="V32" s="1"/>
      <c r="W32" s="1"/>
      <c r="X32" s="1"/>
      <c r="Y32" s="1"/>
      <c r="Z32" s="1"/>
    </row>
    <row r="33" ht="13.5" customHeight="1">
      <c r="A33" s="2"/>
      <c r="B33" s="2"/>
      <c r="C33" s="2"/>
      <c r="D33" s="4"/>
      <c r="E33" s="2"/>
      <c r="F33" s="2"/>
      <c r="G33" s="2"/>
      <c r="H33" s="2"/>
      <c r="I33" s="2"/>
      <c r="J33" s="2"/>
      <c r="K33" s="2"/>
      <c r="L33" s="2"/>
      <c r="M33" s="2"/>
      <c r="N33" s="2"/>
      <c r="O33" s="2"/>
      <c r="P33" s="2"/>
      <c r="Q33" s="2"/>
      <c r="R33" s="2"/>
      <c r="S33" s="2"/>
      <c r="T33" s="2"/>
      <c r="U33" s="2"/>
      <c r="V33" s="2"/>
      <c r="W33" s="2"/>
      <c r="X33" s="2"/>
      <c r="Y33" s="2"/>
      <c r="Z33" s="2"/>
    </row>
    <row r="34" ht="13.5" customHeight="1">
      <c r="A34" s="72" t="s">
        <v>38</v>
      </c>
      <c r="B34" s="23"/>
      <c r="C34" s="23"/>
      <c r="D34" s="23"/>
      <c r="E34" s="23"/>
      <c r="F34" s="23"/>
      <c r="G34" s="23"/>
      <c r="H34" s="73"/>
      <c r="I34" s="2"/>
      <c r="J34" s="2"/>
      <c r="K34" s="2"/>
      <c r="L34" s="2"/>
      <c r="M34" s="2"/>
      <c r="N34" s="2"/>
      <c r="O34" s="2"/>
      <c r="P34" s="2"/>
      <c r="Q34" s="2"/>
      <c r="R34" s="2"/>
      <c r="S34" s="2"/>
      <c r="T34" s="2"/>
      <c r="U34" s="2"/>
      <c r="V34" s="2"/>
      <c r="W34" s="2"/>
      <c r="X34" s="2"/>
      <c r="Y34" s="2"/>
      <c r="Z34" s="2"/>
    </row>
    <row r="35" ht="13.5" customHeight="1">
      <c r="A35" s="74" t="s">
        <v>39</v>
      </c>
      <c r="B35" s="75" t="s">
        <v>40</v>
      </c>
      <c r="C35" s="76" t="s">
        <v>41</v>
      </c>
      <c r="D35" s="75" t="s">
        <v>42</v>
      </c>
      <c r="E35" s="75" t="s">
        <v>43</v>
      </c>
      <c r="F35" s="75" t="s">
        <v>44</v>
      </c>
      <c r="G35" s="75" t="s">
        <v>45</v>
      </c>
      <c r="H35" s="77"/>
      <c r="I35" s="2"/>
      <c r="J35" s="2"/>
      <c r="K35" s="2"/>
      <c r="L35" s="2"/>
      <c r="M35" s="2"/>
      <c r="N35" s="2"/>
      <c r="O35" s="2"/>
      <c r="P35" s="2"/>
      <c r="Q35" s="2"/>
      <c r="R35" s="2"/>
      <c r="S35" s="2"/>
      <c r="T35" s="2"/>
      <c r="U35" s="2"/>
      <c r="V35" s="2"/>
      <c r="W35" s="2"/>
      <c r="X35" s="2"/>
      <c r="Y35" s="2"/>
      <c r="Z35" s="2"/>
    </row>
    <row r="36" ht="13.5" customHeight="1">
      <c r="A36" s="78"/>
      <c r="B36" s="79"/>
      <c r="C36" s="79"/>
      <c r="D36" s="79"/>
      <c r="E36" s="79"/>
      <c r="F36" s="79"/>
      <c r="G36" s="80"/>
      <c r="H36" s="81"/>
      <c r="I36" s="2"/>
      <c r="J36" s="2"/>
      <c r="K36" s="2"/>
      <c r="L36" s="2"/>
      <c r="M36" s="2"/>
      <c r="N36" s="2"/>
      <c r="O36" s="2"/>
      <c r="P36" s="2"/>
      <c r="Q36" s="2"/>
      <c r="R36" s="2"/>
      <c r="S36" s="2"/>
      <c r="T36" s="2"/>
      <c r="U36" s="2"/>
      <c r="V36" s="2"/>
      <c r="W36" s="2"/>
      <c r="X36" s="2"/>
      <c r="Y36" s="2"/>
      <c r="Z36" s="2"/>
    </row>
    <row r="37" ht="13.5" customHeight="1">
      <c r="A37" s="2"/>
      <c r="B37" s="2"/>
      <c r="C37" s="2"/>
      <c r="D37" s="4"/>
      <c r="E37" s="2"/>
      <c r="F37" s="2"/>
      <c r="G37" s="2"/>
      <c r="H37" s="2"/>
      <c r="I37" s="2"/>
      <c r="J37" s="2"/>
      <c r="K37" s="2"/>
      <c r="L37" s="2"/>
      <c r="M37" s="2"/>
      <c r="N37" s="2"/>
      <c r="O37" s="2"/>
      <c r="P37" s="2"/>
      <c r="Q37" s="2"/>
      <c r="R37" s="2"/>
      <c r="S37" s="2"/>
      <c r="T37" s="2"/>
      <c r="U37" s="2"/>
      <c r="V37" s="2"/>
      <c r="W37" s="2"/>
      <c r="X37" s="2"/>
      <c r="Y37" s="2"/>
      <c r="Z37" s="2"/>
    </row>
    <row r="38" ht="13.5" customHeight="1">
      <c r="A38" s="82" t="s">
        <v>46</v>
      </c>
      <c r="B38" s="23"/>
      <c r="C38" s="23"/>
      <c r="D38" s="23"/>
      <c r="E38" s="23"/>
      <c r="F38" s="23"/>
      <c r="G38" s="23"/>
      <c r="H38" s="73"/>
      <c r="I38" s="2"/>
      <c r="J38" s="2"/>
      <c r="K38" s="2"/>
      <c r="L38" s="2"/>
      <c r="M38" s="2"/>
      <c r="N38" s="2"/>
      <c r="O38" s="2"/>
      <c r="P38" s="2"/>
      <c r="Q38" s="2"/>
      <c r="R38" s="2"/>
      <c r="S38" s="2"/>
      <c r="T38" s="2"/>
      <c r="U38" s="2"/>
      <c r="V38" s="2"/>
      <c r="W38" s="2"/>
      <c r="X38" s="2"/>
      <c r="Y38" s="2"/>
      <c r="Z38" s="2"/>
    </row>
    <row r="39" ht="13.5" customHeight="1">
      <c r="A39" s="2"/>
      <c r="B39" s="2"/>
      <c r="C39" s="2"/>
      <c r="D39" s="4"/>
      <c r="E39" s="2"/>
      <c r="F39" s="2"/>
      <c r="G39" s="2"/>
      <c r="H39" s="2"/>
      <c r="I39" s="2"/>
      <c r="J39" s="2"/>
      <c r="K39" s="2"/>
      <c r="L39" s="2"/>
      <c r="M39" s="2"/>
      <c r="N39" s="2"/>
      <c r="O39" s="2"/>
      <c r="P39" s="2"/>
      <c r="Q39" s="2"/>
      <c r="R39" s="2"/>
      <c r="S39" s="2"/>
      <c r="T39" s="2"/>
      <c r="U39" s="2"/>
      <c r="V39" s="2"/>
      <c r="W39" s="2"/>
      <c r="X39" s="2"/>
      <c r="Y39" s="2"/>
      <c r="Z39" s="2"/>
    </row>
    <row r="40" ht="13.5" customHeight="1">
      <c r="A40" s="83" t="s">
        <v>47</v>
      </c>
      <c r="B40" s="23"/>
      <c r="C40" s="23"/>
      <c r="D40" s="23"/>
      <c r="E40" s="23"/>
      <c r="F40" s="23"/>
      <c r="G40" s="23"/>
      <c r="H40" s="73"/>
      <c r="I40" s="2"/>
      <c r="J40" s="2"/>
      <c r="K40" s="2"/>
      <c r="L40" s="2"/>
      <c r="M40" s="2"/>
      <c r="N40" s="2"/>
      <c r="O40" s="2"/>
      <c r="P40" s="2"/>
      <c r="Q40" s="2"/>
      <c r="R40" s="2"/>
      <c r="S40" s="2"/>
      <c r="T40" s="2"/>
      <c r="U40" s="2"/>
      <c r="V40" s="2"/>
      <c r="W40" s="2"/>
      <c r="X40" s="2"/>
      <c r="Y40" s="2"/>
      <c r="Z40" s="2"/>
    </row>
    <row r="41" ht="13.5" customHeight="1">
      <c r="A41" s="2"/>
      <c r="B41" s="2"/>
      <c r="C41" s="2"/>
      <c r="D41" s="4"/>
      <c r="E41" s="2"/>
      <c r="F41" s="2"/>
      <c r="G41" s="2"/>
      <c r="H41" s="2"/>
      <c r="I41" s="2"/>
      <c r="J41" s="2"/>
      <c r="K41" s="2"/>
      <c r="L41" s="2"/>
      <c r="M41" s="2"/>
      <c r="N41" s="2"/>
      <c r="O41" s="2"/>
      <c r="P41" s="2"/>
      <c r="Q41" s="2"/>
      <c r="R41" s="2"/>
      <c r="S41" s="2"/>
      <c r="T41" s="2"/>
      <c r="U41" s="2"/>
      <c r="V41" s="2"/>
      <c r="W41" s="2"/>
      <c r="X41" s="2"/>
      <c r="Y41" s="2"/>
      <c r="Z41" s="2"/>
    </row>
    <row r="42" ht="15.75" customHeight="1">
      <c r="A42" s="84" t="s">
        <v>48</v>
      </c>
      <c r="B42" s="85"/>
      <c r="C42" s="85"/>
      <c r="D42" s="85"/>
      <c r="E42" s="85"/>
      <c r="F42" s="85"/>
      <c r="G42" s="86"/>
      <c r="H42" s="2"/>
      <c r="I42" s="2"/>
      <c r="J42" s="2"/>
      <c r="K42" s="2"/>
      <c r="L42" s="2"/>
      <c r="M42" s="2"/>
      <c r="N42" s="2"/>
      <c r="O42" s="2"/>
      <c r="P42" s="2"/>
      <c r="Q42" s="2"/>
      <c r="R42" s="2"/>
      <c r="S42" s="2"/>
      <c r="T42" s="2"/>
      <c r="U42" s="2"/>
      <c r="V42" s="2"/>
      <c r="W42" s="2"/>
      <c r="X42" s="2"/>
      <c r="Y42" s="2"/>
      <c r="Z42" s="2"/>
    </row>
    <row r="43" ht="16.5" customHeight="1">
      <c r="A43" s="87" t="s">
        <v>49</v>
      </c>
      <c r="B43" s="87" t="s">
        <v>50</v>
      </c>
      <c r="C43" s="87" t="s">
        <v>51</v>
      </c>
      <c r="D43" s="87" t="s">
        <v>52</v>
      </c>
      <c r="E43" s="87" t="s">
        <v>42</v>
      </c>
      <c r="F43" s="87" t="s">
        <v>53</v>
      </c>
      <c r="G43" s="87" t="s">
        <v>54</v>
      </c>
      <c r="H43" s="2"/>
      <c r="I43" s="2"/>
      <c r="J43" s="2"/>
      <c r="K43" s="2"/>
      <c r="L43" s="2"/>
      <c r="M43" s="2"/>
      <c r="N43" s="2"/>
      <c r="O43" s="2"/>
      <c r="P43" s="2"/>
      <c r="Q43" s="2"/>
      <c r="R43" s="2"/>
      <c r="S43" s="2"/>
      <c r="T43" s="2"/>
      <c r="U43" s="2"/>
      <c r="V43" s="2"/>
      <c r="W43" s="2"/>
      <c r="X43" s="2"/>
      <c r="Y43" s="2"/>
      <c r="Z43" s="2"/>
    </row>
    <row r="44" ht="14.25" customHeight="1">
      <c r="A44" s="88"/>
      <c r="B44" s="88"/>
      <c r="C44" s="88"/>
      <c r="D44" s="88"/>
      <c r="E44" s="88"/>
      <c r="F44" s="88"/>
      <c r="G44" s="88"/>
      <c r="H44" s="2"/>
      <c r="I44" s="2"/>
      <c r="J44" s="2"/>
      <c r="K44" s="2"/>
      <c r="L44" s="2"/>
      <c r="M44" s="2"/>
      <c r="N44" s="2"/>
      <c r="O44" s="2"/>
      <c r="P44" s="2"/>
      <c r="Q44" s="2"/>
      <c r="R44" s="2"/>
      <c r="S44" s="2"/>
      <c r="T44" s="2"/>
      <c r="U44" s="2"/>
      <c r="V44" s="2"/>
      <c r="W44" s="2"/>
      <c r="X44" s="2"/>
      <c r="Y44" s="2"/>
      <c r="Z44" s="2"/>
    </row>
    <row r="45" ht="13.5" customHeight="1">
      <c r="A45" s="89" t="s">
        <v>55</v>
      </c>
      <c r="B45" s="90" t="s">
        <v>56</v>
      </c>
      <c r="C45" s="91">
        <v>2025.0</v>
      </c>
      <c r="D45" s="92" t="s">
        <v>57</v>
      </c>
      <c r="E45" s="92">
        <v>1.0</v>
      </c>
      <c r="F45" s="93">
        <v>20000.0</v>
      </c>
      <c r="G45" s="94">
        <v>20000.0</v>
      </c>
      <c r="H45" s="2"/>
      <c r="I45" s="2"/>
      <c r="J45" s="2"/>
      <c r="K45" s="2"/>
      <c r="L45" s="2"/>
      <c r="M45" s="2"/>
      <c r="N45" s="2"/>
      <c r="O45" s="2"/>
      <c r="P45" s="2"/>
      <c r="Q45" s="2"/>
      <c r="R45" s="2"/>
      <c r="S45" s="2"/>
      <c r="T45" s="2"/>
      <c r="U45" s="2"/>
      <c r="V45" s="2"/>
      <c r="W45" s="2"/>
      <c r="X45" s="2"/>
      <c r="Y45" s="2"/>
      <c r="Z45" s="2"/>
    </row>
    <row r="46" ht="13.5" customHeight="1">
      <c r="A46" s="89" t="s">
        <v>58</v>
      </c>
      <c r="B46" s="90" t="s">
        <v>59</v>
      </c>
      <c r="C46" s="95"/>
      <c r="D46" s="92" t="s">
        <v>57</v>
      </c>
      <c r="E46" s="92">
        <v>4.0</v>
      </c>
      <c r="F46" s="93">
        <v>15000.0</v>
      </c>
      <c r="G46" s="94">
        <v>60000.0</v>
      </c>
      <c r="H46" s="2"/>
      <c r="I46" s="2"/>
      <c r="J46" s="2"/>
      <c r="K46" s="2"/>
      <c r="L46" s="2"/>
      <c r="M46" s="2"/>
      <c r="N46" s="2"/>
      <c r="O46" s="2"/>
      <c r="P46" s="2"/>
      <c r="Q46" s="2"/>
      <c r="R46" s="2"/>
      <c r="S46" s="2"/>
      <c r="T46" s="2"/>
      <c r="U46" s="2"/>
      <c r="V46" s="2"/>
      <c r="W46" s="2"/>
      <c r="X46" s="2"/>
      <c r="Y46" s="2"/>
      <c r="Z46" s="2"/>
    </row>
    <row r="47" ht="13.5" customHeight="1">
      <c r="A47" s="89" t="s">
        <v>60</v>
      </c>
      <c r="B47" s="90" t="s">
        <v>61</v>
      </c>
      <c r="C47" s="88"/>
      <c r="D47" s="92" t="s">
        <v>57</v>
      </c>
      <c r="E47" s="92">
        <v>1.0</v>
      </c>
      <c r="F47" s="93">
        <v>10000.0</v>
      </c>
      <c r="G47" s="94">
        <v>10000.0</v>
      </c>
      <c r="H47" s="2"/>
      <c r="I47" s="2"/>
      <c r="J47" s="2"/>
      <c r="K47" s="2"/>
      <c r="L47" s="2"/>
      <c r="M47" s="2"/>
      <c r="N47" s="2"/>
      <c r="O47" s="2"/>
      <c r="P47" s="2"/>
      <c r="Q47" s="2"/>
      <c r="R47" s="2"/>
      <c r="S47" s="2"/>
      <c r="T47" s="2"/>
      <c r="U47" s="2"/>
      <c r="V47" s="2"/>
      <c r="W47" s="2"/>
      <c r="X47" s="2"/>
      <c r="Y47" s="2"/>
      <c r="Z47" s="2"/>
    </row>
    <row r="48" ht="13.5" customHeight="1">
      <c r="A48" s="96" t="s">
        <v>62</v>
      </c>
      <c r="B48" s="97"/>
      <c r="C48" s="97"/>
      <c r="D48" s="97"/>
      <c r="E48" s="97"/>
      <c r="F48" s="98"/>
      <c r="G48" s="94">
        <v>90000.0</v>
      </c>
      <c r="H48" s="2"/>
      <c r="I48" s="2"/>
      <c r="J48" s="2"/>
      <c r="K48" s="2"/>
      <c r="L48" s="2"/>
      <c r="M48" s="2"/>
      <c r="N48" s="2"/>
      <c r="O48" s="2"/>
      <c r="P48" s="2"/>
      <c r="Q48" s="2"/>
      <c r="R48" s="2"/>
      <c r="S48" s="2"/>
      <c r="T48" s="2"/>
      <c r="U48" s="2"/>
      <c r="V48" s="2"/>
      <c r="W48" s="2"/>
      <c r="X48" s="2"/>
      <c r="Y48" s="2"/>
      <c r="Z48" s="2"/>
    </row>
    <row r="49" ht="13.5" customHeight="1">
      <c r="A49" s="2"/>
      <c r="B49" s="2"/>
      <c r="C49" s="2"/>
      <c r="D49" s="4"/>
      <c r="E49" s="2"/>
      <c r="F49" s="2"/>
      <c r="G49" s="2"/>
      <c r="H49" s="2"/>
      <c r="I49" s="2"/>
      <c r="J49" s="2"/>
      <c r="K49" s="2"/>
      <c r="L49" s="2"/>
      <c r="M49" s="2"/>
      <c r="N49" s="2"/>
      <c r="O49" s="2"/>
      <c r="P49" s="2"/>
      <c r="Q49" s="2"/>
      <c r="R49" s="2"/>
      <c r="S49" s="2"/>
      <c r="T49" s="2"/>
      <c r="U49" s="2"/>
      <c r="V49" s="2"/>
      <c r="W49" s="2"/>
      <c r="X49" s="2"/>
      <c r="Y49" s="2"/>
      <c r="Z49" s="2"/>
    </row>
    <row r="50" ht="13.5" customHeight="1">
      <c r="A50" s="84" t="s">
        <v>63</v>
      </c>
      <c r="B50" s="85"/>
      <c r="C50" s="85"/>
      <c r="D50" s="85"/>
      <c r="E50" s="85"/>
      <c r="F50" s="85"/>
      <c r="G50" s="86"/>
      <c r="H50" s="2"/>
      <c r="I50" s="2"/>
      <c r="J50" s="2"/>
      <c r="K50" s="2"/>
      <c r="L50" s="2"/>
      <c r="M50" s="2"/>
      <c r="N50" s="2"/>
      <c r="O50" s="2"/>
      <c r="P50" s="2"/>
      <c r="Q50" s="2"/>
      <c r="R50" s="2"/>
      <c r="S50" s="2"/>
      <c r="T50" s="2"/>
      <c r="U50" s="2"/>
      <c r="V50" s="2"/>
      <c r="W50" s="2"/>
      <c r="X50" s="2"/>
      <c r="Y50" s="2"/>
      <c r="Z50" s="2"/>
    </row>
    <row r="51" ht="16.5" customHeight="1">
      <c r="A51" s="87" t="s">
        <v>49</v>
      </c>
      <c r="B51" s="87" t="s">
        <v>50</v>
      </c>
      <c r="C51" s="87" t="s">
        <v>51</v>
      </c>
      <c r="D51" s="87" t="s">
        <v>52</v>
      </c>
      <c r="E51" s="87" t="s">
        <v>42</v>
      </c>
      <c r="F51" s="87" t="s">
        <v>53</v>
      </c>
      <c r="G51" s="87" t="s">
        <v>54</v>
      </c>
      <c r="H51" s="2"/>
      <c r="I51" s="2"/>
      <c r="J51" s="2"/>
      <c r="K51" s="2"/>
      <c r="L51" s="2"/>
      <c r="M51" s="2"/>
      <c r="N51" s="2"/>
      <c r="O51" s="2"/>
      <c r="P51" s="2"/>
      <c r="Q51" s="2"/>
      <c r="R51" s="2"/>
      <c r="S51" s="2"/>
      <c r="T51" s="2"/>
      <c r="U51" s="2"/>
      <c r="V51" s="2"/>
      <c r="W51" s="2"/>
      <c r="X51" s="2"/>
      <c r="Y51" s="2"/>
      <c r="Z51" s="2"/>
    </row>
    <row r="52" ht="13.5" customHeight="1">
      <c r="A52" s="88"/>
      <c r="B52" s="88"/>
      <c r="C52" s="88"/>
      <c r="D52" s="88"/>
      <c r="E52" s="88"/>
      <c r="F52" s="88"/>
      <c r="G52" s="88"/>
      <c r="H52" s="2"/>
      <c r="I52" s="2"/>
      <c r="J52" s="2"/>
      <c r="K52" s="2"/>
      <c r="L52" s="2"/>
      <c r="M52" s="2"/>
      <c r="N52" s="2"/>
      <c r="O52" s="2"/>
      <c r="P52" s="2"/>
      <c r="Q52" s="2"/>
      <c r="R52" s="2"/>
      <c r="S52" s="2"/>
      <c r="T52" s="2"/>
      <c r="U52" s="2"/>
      <c r="V52" s="2"/>
      <c r="W52" s="2"/>
      <c r="X52" s="2"/>
      <c r="Y52" s="2"/>
      <c r="Z52" s="2"/>
    </row>
    <row r="53" ht="13.5" customHeight="1">
      <c r="A53" s="89" t="s">
        <v>64</v>
      </c>
      <c r="B53" s="90" t="s">
        <v>65</v>
      </c>
      <c r="C53" s="91">
        <v>2026.0</v>
      </c>
      <c r="D53" s="92" t="s">
        <v>57</v>
      </c>
      <c r="E53" s="92">
        <v>1.0</v>
      </c>
      <c r="F53" s="93">
        <v>20000.0</v>
      </c>
      <c r="G53" s="94">
        <v>20000.0</v>
      </c>
      <c r="H53" s="2"/>
      <c r="I53" s="2"/>
      <c r="J53" s="2"/>
      <c r="K53" s="2"/>
      <c r="L53" s="2"/>
      <c r="M53" s="2"/>
      <c r="N53" s="2"/>
      <c r="O53" s="2"/>
      <c r="P53" s="2"/>
      <c r="Q53" s="2"/>
      <c r="R53" s="2"/>
      <c r="S53" s="2"/>
      <c r="T53" s="2"/>
      <c r="U53" s="2"/>
      <c r="V53" s="2"/>
      <c r="W53" s="2"/>
      <c r="X53" s="2"/>
      <c r="Y53" s="2"/>
      <c r="Z53" s="2"/>
    </row>
    <row r="54" ht="13.5" customHeight="1">
      <c r="A54" s="89" t="s">
        <v>66</v>
      </c>
      <c r="B54" s="90" t="s">
        <v>67</v>
      </c>
      <c r="C54" s="95"/>
      <c r="D54" s="92" t="s">
        <v>57</v>
      </c>
      <c r="E54" s="92">
        <v>4.0</v>
      </c>
      <c r="F54" s="93">
        <v>15000.0</v>
      </c>
      <c r="G54" s="94">
        <v>60000.0</v>
      </c>
      <c r="H54" s="2"/>
      <c r="I54" s="2"/>
      <c r="J54" s="2"/>
      <c r="K54" s="2"/>
      <c r="L54" s="2"/>
      <c r="M54" s="2"/>
      <c r="N54" s="2"/>
      <c r="O54" s="2"/>
      <c r="P54" s="2"/>
      <c r="Q54" s="2"/>
      <c r="R54" s="2"/>
      <c r="S54" s="2"/>
      <c r="T54" s="2"/>
      <c r="U54" s="2"/>
      <c r="V54" s="2"/>
      <c r="W54" s="2"/>
      <c r="X54" s="2"/>
      <c r="Y54" s="2"/>
      <c r="Z54" s="2"/>
    </row>
    <row r="55" ht="13.5" customHeight="1">
      <c r="A55" s="89" t="s">
        <v>68</v>
      </c>
      <c r="B55" s="90" t="s">
        <v>61</v>
      </c>
      <c r="C55" s="88"/>
      <c r="D55" s="92" t="s">
        <v>57</v>
      </c>
      <c r="E55" s="92">
        <v>1.0</v>
      </c>
      <c r="F55" s="93">
        <v>10000.0</v>
      </c>
      <c r="G55" s="94">
        <v>10000.0</v>
      </c>
      <c r="H55" s="2"/>
      <c r="I55" s="2"/>
      <c r="J55" s="2"/>
      <c r="K55" s="2"/>
      <c r="L55" s="2"/>
      <c r="M55" s="2"/>
      <c r="N55" s="2"/>
      <c r="O55" s="2"/>
      <c r="P55" s="2"/>
      <c r="Q55" s="2"/>
      <c r="R55" s="2"/>
      <c r="S55" s="2"/>
      <c r="T55" s="2"/>
      <c r="U55" s="2"/>
      <c r="V55" s="2"/>
      <c r="W55" s="2"/>
      <c r="X55" s="2"/>
      <c r="Y55" s="2"/>
      <c r="Z55" s="2"/>
    </row>
    <row r="56" ht="13.5" customHeight="1">
      <c r="A56" s="96" t="s">
        <v>62</v>
      </c>
      <c r="B56" s="97"/>
      <c r="C56" s="97"/>
      <c r="D56" s="97"/>
      <c r="E56" s="97"/>
      <c r="F56" s="98"/>
      <c r="G56" s="94">
        <v>90000.0</v>
      </c>
      <c r="H56" s="2"/>
      <c r="I56" s="2"/>
      <c r="J56" s="2"/>
      <c r="K56" s="2"/>
      <c r="L56" s="2"/>
      <c r="M56" s="2"/>
      <c r="N56" s="2"/>
      <c r="O56" s="2"/>
      <c r="P56" s="2"/>
      <c r="Q56" s="2"/>
      <c r="R56" s="2"/>
      <c r="S56" s="2"/>
      <c r="T56" s="2"/>
      <c r="U56" s="2"/>
      <c r="V56" s="2"/>
      <c r="W56" s="2"/>
      <c r="X56" s="2"/>
      <c r="Y56" s="2"/>
      <c r="Z56" s="2"/>
    </row>
    <row r="57" ht="13.5" customHeight="1">
      <c r="A57" s="2"/>
      <c r="B57" s="2"/>
      <c r="C57" s="2"/>
      <c r="D57" s="4"/>
      <c r="E57" s="2"/>
      <c r="F57" s="2"/>
      <c r="G57" s="2"/>
      <c r="H57" s="2"/>
      <c r="I57" s="2"/>
      <c r="J57" s="2"/>
      <c r="K57" s="2"/>
      <c r="L57" s="2"/>
      <c r="M57" s="2"/>
      <c r="N57" s="2"/>
      <c r="O57" s="2"/>
      <c r="P57" s="2"/>
      <c r="Q57" s="2"/>
      <c r="R57" s="2"/>
      <c r="S57" s="2"/>
      <c r="T57" s="2"/>
      <c r="U57" s="2"/>
      <c r="V57" s="2"/>
      <c r="W57" s="2"/>
      <c r="X57" s="2"/>
      <c r="Y57" s="2"/>
      <c r="Z57" s="2"/>
    </row>
    <row r="58" ht="13.5" customHeight="1">
      <c r="A58" s="84" t="s">
        <v>69</v>
      </c>
      <c r="B58" s="85"/>
      <c r="C58" s="85"/>
      <c r="D58" s="85"/>
      <c r="E58" s="85"/>
      <c r="F58" s="85"/>
      <c r="G58" s="86"/>
      <c r="H58" s="2"/>
      <c r="I58" s="2"/>
      <c r="J58" s="2"/>
      <c r="K58" s="2"/>
      <c r="L58" s="2"/>
      <c r="M58" s="2"/>
      <c r="N58" s="2"/>
      <c r="O58" s="2"/>
      <c r="P58" s="2"/>
      <c r="Q58" s="2"/>
      <c r="R58" s="2"/>
      <c r="S58" s="2"/>
      <c r="T58" s="2"/>
      <c r="U58" s="2"/>
      <c r="V58" s="2"/>
      <c r="W58" s="2"/>
      <c r="X58" s="2"/>
      <c r="Y58" s="2"/>
      <c r="Z58" s="2"/>
    </row>
    <row r="59" ht="16.5" customHeight="1">
      <c r="A59" s="87" t="s">
        <v>49</v>
      </c>
      <c r="B59" s="87" t="s">
        <v>50</v>
      </c>
      <c r="C59" s="87" t="s">
        <v>51</v>
      </c>
      <c r="D59" s="87" t="s">
        <v>52</v>
      </c>
      <c r="E59" s="87" t="s">
        <v>42</v>
      </c>
      <c r="F59" s="87" t="s">
        <v>53</v>
      </c>
      <c r="G59" s="87" t="s">
        <v>54</v>
      </c>
      <c r="H59" s="2"/>
      <c r="I59" s="2"/>
      <c r="J59" s="2"/>
      <c r="K59" s="2"/>
      <c r="L59" s="2"/>
      <c r="M59" s="2"/>
      <c r="N59" s="2"/>
      <c r="O59" s="2"/>
      <c r="P59" s="2"/>
      <c r="Q59" s="2"/>
      <c r="R59" s="2"/>
      <c r="S59" s="2"/>
      <c r="T59" s="2"/>
      <c r="U59" s="2"/>
      <c r="V59" s="2"/>
      <c r="W59" s="2"/>
      <c r="X59" s="2"/>
      <c r="Y59" s="2"/>
      <c r="Z59" s="2"/>
    </row>
    <row r="60" ht="13.5" customHeight="1">
      <c r="A60" s="88"/>
      <c r="B60" s="88"/>
      <c r="C60" s="88"/>
      <c r="D60" s="88"/>
      <c r="E60" s="88"/>
      <c r="F60" s="88"/>
      <c r="G60" s="88"/>
      <c r="H60" s="2"/>
      <c r="I60" s="2"/>
      <c r="J60" s="2"/>
      <c r="K60" s="2"/>
      <c r="L60" s="2"/>
      <c r="M60" s="2"/>
      <c r="N60" s="2"/>
      <c r="O60" s="2"/>
      <c r="P60" s="2"/>
      <c r="Q60" s="2"/>
      <c r="R60" s="2"/>
      <c r="S60" s="2"/>
      <c r="T60" s="2"/>
      <c r="U60" s="2"/>
      <c r="V60" s="2"/>
      <c r="W60" s="2"/>
      <c r="X60" s="2"/>
      <c r="Y60" s="2"/>
      <c r="Z60" s="2"/>
    </row>
    <row r="61" ht="13.5" customHeight="1">
      <c r="A61" s="89" t="s">
        <v>70</v>
      </c>
      <c r="B61" s="90" t="s">
        <v>71</v>
      </c>
      <c r="C61" s="91">
        <v>2026.0</v>
      </c>
      <c r="D61" s="92" t="s">
        <v>57</v>
      </c>
      <c r="E61" s="92">
        <v>1.0</v>
      </c>
      <c r="F61" s="93">
        <v>90000.0</v>
      </c>
      <c r="G61" s="94">
        <v>90000.0</v>
      </c>
      <c r="H61" s="2"/>
      <c r="I61" s="2"/>
      <c r="J61" s="2"/>
      <c r="K61" s="2"/>
      <c r="L61" s="2"/>
      <c r="M61" s="2"/>
      <c r="N61" s="2"/>
      <c r="O61" s="2"/>
      <c r="P61" s="2"/>
      <c r="Q61" s="2"/>
      <c r="R61" s="2"/>
      <c r="S61" s="2"/>
      <c r="T61" s="2"/>
      <c r="U61" s="2"/>
      <c r="V61" s="2"/>
      <c r="W61" s="2"/>
      <c r="X61" s="2"/>
      <c r="Y61" s="2"/>
      <c r="Z61" s="2"/>
    </row>
    <row r="62" ht="13.5" customHeight="1">
      <c r="A62" s="89" t="s">
        <v>72</v>
      </c>
      <c r="B62" s="90" t="s">
        <v>73</v>
      </c>
      <c r="C62" s="95"/>
      <c r="D62" s="92" t="s">
        <v>57</v>
      </c>
      <c r="E62" s="92">
        <v>2.0</v>
      </c>
      <c r="F62" s="93">
        <v>80000.0</v>
      </c>
      <c r="G62" s="94">
        <v>160000.0</v>
      </c>
      <c r="H62" s="2"/>
      <c r="I62" s="2"/>
      <c r="J62" s="2"/>
      <c r="K62" s="2"/>
      <c r="L62" s="2"/>
      <c r="M62" s="2"/>
      <c r="N62" s="2"/>
      <c r="O62" s="2"/>
      <c r="P62" s="2"/>
      <c r="Q62" s="2"/>
      <c r="R62" s="2"/>
      <c r="S62" s="2"/>
      <c r="T62" s="2"/>
      <c r="U62" s="2"/>
      <c r="V62" s="2"/>
      <c r="W62" s="2"/>
      <c r="X62" s="2"/>
      <c r="Y62" s="2"/>
      <c r="Z62" s="2"/>
    </row>
    <row r="63" ht="13.5" customHeight="1">
      <c r="A63" s="89" t="s">
        <v>74</v>
      </c>
      <c r="B63" s="90" t="s">
        <v>75</v>
      </c>
      <c r="C63" s="95"/>
      <c r="D63" s="92" t="s">
        <v>57</v>
      </c>
      <c r="E63" s="92">
        <v>2.0</v>
      </c>
      <c r="F63" s="93">
        <v>90000.0</v>
      </c>
      <c r="G63" s="94">
        <v>180000.0</v>
      </c>
      <c r="H63" s="2"/>
      <c r="I63" s="2"/>
      <c r="J63" s="2"/>
      <c r="K63" s="2"/>
      <c r="L63" s="2"/>
      <c r="M63" s="2"/>
      <c r="N63" s="2"/>
      <c r="O63" s="2"/>
      <c r="P63" s="2"/>
      <c r="Q63" s="2"/>
      <c r="R63" s="2"/>
      <c r="S63" s="2"/>
      <c r="T63" s="2"/>
      <c r="U63" s="2"/>
      <c r="V63" s="2"/>
      <c r="W63" s="2"/>
      <c r="X63" s="2"/>
      <c r="Y63" s="2"/>
      <c r="Z63" s="2"/>
    </row>
    <row r="64" ht="13.5" customHeight="1">
      <c r="A64" s="89" t="s">
        <v>76</v>
      </c>
      <c r="B64" s="90" t="s">
        <v>61</v>
      </c>
      <c r="C64" s="88"/>
      <c r="D64" s="92" t="s">
        <v>57</v>
      </c>
      <c r="E64" s="92">
        <v>1.0</v>
      </c>
      <c r="F64" s="93">
        <v>70000.0</v>
      </c>
      <c r="G64" s="94">
        <v>70000.0</v>
      </c>
      <c r="H64" s="2"/>
      <c r="I64" s="2"/>
      <c r="J64" s="2"/>
      <c r="K64" s="2"/>
      <c r="L64" s="2"/>
      <c r="M64" s="2"/>
      <c r="N64" s="2"/>
      <c r="O64" s="2"/>
      <c r="P64" s="2"/>
      <c r="Q64" s="2"/>
      <c r="R64" s="2"/>
      <c r="S64" s="2"/>
      <c r="T64" s="2"/>
      <c r="U64" s="2"/>
      <c r="V64" s="2"/>
      <c r="W64" s="2"/>
      <c r="X64" s="2"/>
      <c r="Y64" s="2"/>
      <c r="Z64" s="2"/>
    </row>
    <row r="65" ht="13.5" customHeight="1">
      <c r="A65" s="96" t="s">
        <v>62</v>
      </c>
      <c r="B65" s="97"/>
      <c r="C65" s="97"/>
      <c r="D65" s="97"/>
      <c r="E65" s="97"/>
      <c r="F65" s="98"/>
      <c r="G65" s="94">
        <v>500000.0</v>
      </c>
      <c r="H65" s="2"/>
      <c r="I65" s="2"/>
      <c r="J65" s="2"/>
      <c r="K65" s="2"/>
      <c r="L65" s="2"/>
      <c r="M65" s="2"/>
      <c r="N65" s="2"/>
      <c r="O65" s="2"/>
      <c r="P65" s="2"/>
      <c r="Q65" s="2"/>
      <c r="R65" s="2"/>
      <c r="S65" s="2"/>
      <c r="T65" s="2"/>
      <c r="U65" s="2"/>
      <c r="V65" s="2"/>
      <c r="W65" s="2"/>
      <c r="X65" s="2"/>
      <c r="Y65" s="2"/>
      <c r="Z65" s="2"/>
    </row>
    <row r="66" ht="13.5" customHeight="1">
      <c r="A66" s="2"/>
      <c r="B66" s="2"/>
      <c r="C66" s="2"/>
      <c r="D66" s="4"/>
      <c r="E66" s="2"/>
      <c r="F66" s="2"/>
      <c r="G66" s="2"/>
      <c r="H66" s="2"/>
      <c r="I66" s="2"/>
      <c r="J66" s="2"/>
      <c r="K66" s="2"/>
      <c r="L66" s="2"/>
      <c r="M66" s="2"/>
      <c r="N66" s="2"/>
      <c r="O66" s="2"/>
      <c r="P66" s="2"/>
      <c r="Q66" s="2"/>
      <c r="R66" s="2"/>
      <c r="S66" s="2"/>
      <c r="T66" s="2"/>
      <c r="U66" s="2"/>
      <c r="V66" s="2"/>
      <c r="W66" s="2"/>
      <c r="X66" s="2"/>
      <c r="Y66" s="2"/>
      <c r="Z66" s="2"/>
    </row>
    <row r="67" ht="13.5" customHeight="1">
      <c r="A67" s="99" t="s">
        <v>77</v>
      </c>
      <c r="H67" s="2"/>
      <c r="I67" s="2"/>
      <c r="J67" s="2"/>
      <c r="K67" s="2"/>
      <c r="L67" s="2"/>
      <c r="M67" s="2"/>
      <c r="N67" s="2"/>
      <c r="O67" s="2"/>
      <c r="P67" s="2"/>
      <c r="Q67" s="2"/>
      <c r="R67" s="2"/>
      <c r="S67" s="2"/>
      <c r="T67" s="2"/>
      <c r="U67" s="2"/>
      <c r="V67" s="2"/>
      <c r="W67" s="2"/>
      <c r="X67" s="2"/>
      <c r="Y67" s="2"/>
      <c r="Z67" s="2"/>
    </row>
    <row r="68" ht="13.5" customHeight="1">
      <c r="A68" s="2"/>
      <c r="B68" s="2"/>
      <c r="C68" s="2"/>
      <c r="D68" s="4"/>
      <c r="E68" s="100"/>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t="s">
        <v>78</v>
      </c>
      <c r="H69" s="2"/>
      <c r="I69" s="2"/>
      <c r="J69" s="2"/>
      <c r="K69" s="2"/>
      <c r="L69" s="2"/>
      <c r="M69" s="2"/>
      <c r="N69" s="2"/>
      <c r="O69" s="2"/>
      <c r="P69" s="2"/>
      <c r="Q69" s="2"/>
      <c r="R69" s="2"/>
      <c r="S69" s="2"/>
      <c r="T69" s="2"/>
      <c r="U69" s="2"/>
      <c r="V69" s="2"/>
      <c r="W69" s="2"/>
      <c r="X69" s="2"/>
      <c r="Y69" s="2"/>
      <c r="Z69" s="2"/>
    </row>
    <row r="70" ht="18.0" customHeight="1">
      <c r="A70" s="1" t="s">
        <v>79</v>
      </c>
      <c r="D70" s="1" t="s">
        <v>80</v>
      </c>
      <c r="H70" s="2"/>
      <c r="I70" s="2"/>
      <c r="J70" s="2"/>
      <c r="K70" s="2"/>
      <c r="L70" s="2"/>
      <c r="M70" s="2"/>
      <c r="N70" s="2"/>
      <c r="O70" s="2"/>
      <c r="P70" s="2"/>
      <c r="Q70" s="2"/>
      <c r="R70" s="2"/>
      <c r="S70" s="2"/>
      <c r="T70" s="2"/>
      <c r="U70" s="2"/>
      <c r="V70" s="2"/>
      <c r="W70" s="2"/>
      <c r="X70" s="2"/>
      <c r="Y70" s="2"/>
      <c r="Z70" s="2"/>
    </row>
    <row r="71" ht="13.5" customHeight="1">
      <c r="A71" s="2"/>
      <c r="B71" s="2"/>
      <c r="C71" s="2"/>
      <c r="D71" s="19"/>
      <c r="E71" s="19"/>
      <c r="F71" s="19"/>
      <c r="G71" s="101"/>
      <c r="H71" s="2"/>
      <c r="I71" s="2"/>
      <c r="J71" s="2"/>
      <c r="K71" s="2"/>
      <c r="L71" s="2"/>
      <c r="M71" s="2"/>
      <c r="N71" s="2"/>
      <c r="O71" s="2"/>
      <c r="P71" s="2"/>
      <c r="Q71" s="2"/>
      <c r="R71" s="2"/>
      <c r="S71" s="2"/>
      <c r="T71" s="2"/>
      <c r="U71" s="2"/>
      <c r="V71" s="2"/>
      <c r="W71" s="2"/>
      <c r="X71" s="2"/>
      <c r="Y71" s="2"/>
      <c r="Z71" s="2"/>
    </row>
    <row r="72" ht="13.5" customHeight="1">
      <c r="A72" s="2"/>
      <c r="B72" s="2"/>
      <c r="C72" s="2"/>
      <c r="D72" s="19"/>
      <c r="E72" s="19"/>
      <c r="F72" s="19"/>
      <c r="G72" s="101"/>
      <c r="H72" s="2"/>
      <c r="I72" s="2"/>
      <c r="J72" s="2"/>
      <c r="K72" s="2"/>
      <c r="L72" s="2"/>
      <c r="M72" s="2"/>
      <c r="N72" s="2"/>
      <c r="O72" s="2"/>
      <c r="P72" s="2"/>
      <c r="Q72" s="2"/>
      <c r="R72" s="2"/>
      <c r="S72" s="2"/>
      <c r="T72" s="2"/>
      <c r="U72" s="2"/>
      <c r="V72" s="2"/>
      <c r="W72" s="2"/>
      <c r="X72" s="2"/>
      <c r="Y72" s="2"/>
      <c r="Z72" s="2"/>
    </row>
    <row r="73" ht="13.5" customHeight="1">
      <c r="A73" s="2"/>
      <c r="B73" s="2"/>
      <c r="C73" s="2"/>
      <c r="D73" s="102" t="s">
        <v>21</v>
      </c>
      <c r="H73" s="2"/>
      <c r="I73" s="2"/>
      <c r="J73" s="2"/>
      <c r="K73" s="2"/>
      <c r="L73" s="2"/>
      <c r="M73" s="2"/>
      <c r="N73" s="2"/>
      <c r="O73" s="2"/>
      <c r="P73" s="2"/>
      <c r="Q73" s="2"/>
      <c r="R73" s="2"/>
      <c r="S73" s="2"/>
      <c r="T73" s="2"/>
      <c r="U73" s="2"/>
      <c r="V73" s="2"/>
      <c r="W73" s="2"/>
      <c r="X73" s="2"/>
      <c r="Y73" s="2"/>
      <c r="Z73" s="2"/>
    </row>
    <row r="74" ht="13.5" customHeight="1">
      <c r="A74" s="2"/>
      <c r="B74" s="2"/>
      <c r="C74" s="2"/>
      <c r="H74" s="2"/>
      <c r="I74" s="2"/>
      <c r="J74" s="2"/>
      <c r="K74" s="2"/>
      <c r="L74" s="2"/>
      <c r="M74" s="2"/>
      <c r="N74" s="2"/>
      <c r="O74" s="2"/>
      <c r="P74" s="2"/>
      <c r="Q74" s="2"/>
      <c r="R74" s="2"/>
      <c r="S74" s="2"/>
      <c r="T74" s="2"/>
      <c r="U74" s="2"/>
      <c r="V74" s="2"/>
      <c r="W74" s="2"/>
      <c r="X74" s="2"/>
      <c r="Y74" s="2"/>
      <c r="Z74" s="2"/>
    </row>
    <row r="75" ht="13.5" customHeight="1">
      <c r="A75" s="2"/>
      <c r="B75" s="2"/>
      <c r="C75" s="2"/>
      <c r="H75" s="2"/>
      <c r="I75" s="2"/>
      <c r="J75" s="2"/>
      <c r="K75" s="2"/>
      <c r="L75" s="2"/>
      <c r="M75" s="2"/>
      <c r="N75" s="2"/>
      <c r="O75" s="2"/>
      <c r="P75" s="2"/>
      <c r="Q75" s="2"/>
      <c r="R75" s="2"/>
      <c r="S75" s="2"/>
      <c r="T75" s="2"/>
      <c r="U75" s="2"/>
      <c r="V75" s="2"/>
      <c r="W75" s="2"/>
      <c r="X75" s="2"/>
      <c r="Y75" s="2"/>
      <c r="Z75" s="2"/>
    </row>
    <row r="76" ht="13.5" customHeight="1">
      <c r="A76" s="2"/>
      <c r="B76" s="2"/>
      <c r="C76" s="2"/>
      <c r="H76" s="2"/>
      <c r="I76" s="2"/>
      <c r="J76" s="2"/>
      <c r="K76" s="2"/>
      <c r="L76" s="2"/>
      <c r="M76" s="2"/>
      <c r="N76" s="2"/>
      <c r="O76" s="2"/>
      <c r="P76" s="2"/>
      <c r="Q76" s="2"/>
      <c r="R76" s="2"/>
      <c r="S76" s="2"/>
      <c r="T76" s="2"/>
      <c r="U76" s="2"/>
      <c r="V76" s="2"/>
      <c r="W76" s="2"/>
      <c r="X76" s="2"/>
      <c r="Y76" s="2"/>
      <c r="Z76" s="2"/>
    </row>
    <row r="77" ht="13.5" customHeight="1">
      <c r="A77" s="2"/>
      <c r="B77" s="2"/>
      <c r="C77" s="2"/>
      <c r="D77" s="4"/>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4"/>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4"/>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4"/>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4"/>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4"/>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4"/>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4"/>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4"/>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4"/>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4"/>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4"/>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4"/>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4"/>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4"/>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4"/>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4"/>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4"/>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4"/>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4"/>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4"/>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4"/>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4"/>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4"/>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4"/>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4"/>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4"/>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4"/>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4"/>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4"/>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4"/>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4"/>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4"/>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4"/>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4"/>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4"/>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4"/>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4"/>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4"/>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4"/>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4"/>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4"/>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4"/>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4"/>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4"/>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4"/>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4"/>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4"/>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4"/>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4"/>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4"/>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4"/>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4"/>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4"/>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4"/>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4"/>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4"/>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4"/>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4"/>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4"/>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4"/>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4"/>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4"/>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4"/>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4"/>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4"/>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4"/>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4"/>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4"/>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4"/>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4"/>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4"/>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4"/>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4"/>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4"/>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4"/>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4"/>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4"/>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4"/>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4"/>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4"/>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4"/>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4"/>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4"/>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4"/>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4"/>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4"/>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4"/>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4"/>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4"/>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4"/>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4"/>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4"/>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4"/>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4"/>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4"/>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4"/>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4"/>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4"/>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4"/>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4"/>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4"/>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4"/>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4"/>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4"/>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4"/>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4"/>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4"/>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4"/>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4"/>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4"/>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4"/>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4"/>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4"/>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4"/>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4"/>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4"/>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4"/>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4"/>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4"/>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4"/>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4"/>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4"/>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4"/>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4"/>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4"/>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4"/>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4"/>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4"/>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4"/>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4"/>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4"/>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4"/>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4"/>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4"/>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4"/>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4"/>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4"/>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4"/>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4"/>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4"/>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4"/>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4"/>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4"/>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4"/>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4"/>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4"/>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4"/>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4"/>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4"/>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4"/>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4"/>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4"/>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4"/>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4"/>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4"/>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4"/>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4"/>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4"/>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4"/>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4"/>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4"/>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4"/>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4"/>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4"/>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4"/>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4"/>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4"/>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4"/>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4"/>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4"/>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4"/>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4"/>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4"/>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4"/>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4"/>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4"/>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4"/>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4"/>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4"/>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4"/>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4"/>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4"/>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4"/>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4"/>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4"/>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4"/>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4"/>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4"/>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4"/>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4"/>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4"/>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4"/>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4"/>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4"/>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4"/>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4"/>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4"/>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4"/>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4"/>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4"/>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4"/>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4"/>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4"/>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4"/>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4"/>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4"/>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4"/>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4"/>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4"/>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4"/>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4"/>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4"/>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4"/>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4"/>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4"/>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4"/>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4"/>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4"/>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4"/>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4"/>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4"/>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4"/>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4"/>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4"/>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4"/>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4"/>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4"/>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4"/>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4"/>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4"/>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4"/>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4"/>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4"/>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4"/>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4"/>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4"/>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4"/>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4"/>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4"/>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4"/>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4"/>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4"/>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4"/>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4"/>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4"/>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4"/>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4"/>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4"/>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4"/>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4"/>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4"/>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4"/>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4"/>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4"/>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4"/>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4"/>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4"/>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4"/>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4"/>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4"/>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4"/>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4"/>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4"/>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4"/>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4"/>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4"/>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4"/>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4"/>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4"/>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4"/>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4"/>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4"/>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4"/>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4"/>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4"/>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4"/>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4"/>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4"/>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4"/>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4"/>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4"/>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4"/>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4"/>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4"/>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4"/>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4"/>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4"/>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4"/>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4"/>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4"/>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4"/>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4"/>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4"/>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4"/>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4"/>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4"/>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4"/>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4"/>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4"/>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4"/>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4"/>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4"/>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4"/>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4"/>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4"/>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4"/>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4"/>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4"/>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4"/>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4"/>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4"/>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4"/>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4"/>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4"/>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4"/>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4"/>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4"/>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4"/>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4"/>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4"/>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4"/>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4"/>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4"/>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4"/>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4"/>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4"/>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4"/>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4"/>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4"/>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4"/>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4"/>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4"/>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4"/>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4"/>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4"/>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4"/>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4"/>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4"/>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4"/>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4"/>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4"/>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4"/>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4"/>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4"/>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4"/>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4"/>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4"/>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4"/>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4"/>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4"/>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4"/>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4"/>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4"/>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4"/>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4"/>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4"/>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4"/>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4"/>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4"/>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4"/>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4"/>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4"/>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4"/>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4"/>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4"/>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4"/>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4"/>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4"/>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4"/>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4"/>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4"/>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4"/>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4"/>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4"/>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4"/>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4"/>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4"/>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4"/>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4"/>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4"/>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4"/>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4"/>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4"/>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4"/>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4"/>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4"/>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4"/>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4"/>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4"/>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4"/>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4"/>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4"/>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4"/>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4"/>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4"/>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4"/>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4"/>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4"/>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4"/>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4"/>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4"/>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4"/>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4"/>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4"/>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4"/>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4"/>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4"/>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4"/>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4"/>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4"/>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4"/>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4"/>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4"/>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4"/>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4"/>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4"/>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4"/>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4"/>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4"/>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4"/>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4"/>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4"/>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4"/>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4"/>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4"/>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4"/>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4"/>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4"/>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4"/>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4"/>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4"/>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4"/>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4"/>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4"/>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4"/>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4"/>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4"/>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4"/>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4"/>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4"/>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4"/>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4"/>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4"/>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4"/>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4"/>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4"/>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4"/>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4"/>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4"/>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4"/>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4"/>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4"/>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4"/>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4"/>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4"/>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4"/>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4"/>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4"/>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4"/>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4"/>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4"/>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4"/>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4"/>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4"/>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4"/>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4"/>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4"/>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4"/>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4"/>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4"/>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4"/>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4"/>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4"/>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4"/>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4"/>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4"/>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4"/>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4"/>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4"/>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4"/>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4"/>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4"/>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4"/>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4"/>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4"/>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4"/>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4"/>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4"/>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4"/>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4"/>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4"/>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4"/>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4"/>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4"/>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4"/>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4"/>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4"/>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4"/>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4"/>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4"/>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4"/>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4"/>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4"/>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4"/>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4"/>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4"/>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4"/>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4"/>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4"/>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4"/>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4"/>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4"/>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4"/>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4"/>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4"/>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4"/>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4"/>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4"/>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4"/>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4"/>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4"/>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4"/>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4"/>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4"/>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4"/>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4"/>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4"/>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4"/>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4"/>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4"/>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4"/>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4"/>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4"/>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4"/>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4"/>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4"/>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4"/>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4"/>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4"/>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4"/>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4"/>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4"/>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4"/>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4"/>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4"/>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4"/>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4"/>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4"/>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4"/>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4"/>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4"/>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4"/>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4"/>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4"/>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4"/>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4"/>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4"/>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4"/>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4"/>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4"/>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4"/>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4"/>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4"/>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4"/>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4"/>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4"/>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4"/>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4"/>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4"/>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4"/>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4"/>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4"/>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4"/>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4"/>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4"/>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4"/>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4"/>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4"/>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4"/>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4"/>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4"/>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4"/>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4"/>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4"/>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4"/>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4"/>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4"/>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4"/>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4"/>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4"/>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4"/>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4"/>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4"/>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4"/>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4"/>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4"/>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4"/>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4"/>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4"/>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4"/>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4"/>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4"/>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4"/>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4"/>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4"/>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4"/>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4"/>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4"/>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4"/>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4"/>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4"/>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4"/>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4"/>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4"/>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4"/>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4"/>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4"/>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4"/>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4"/>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4"/>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4"/>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4"/>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4"/>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4"/>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4"/>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4"/>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4"/>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4"/>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4"/>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4"/>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4"/>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4"/>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4"/>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4"/>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4"/>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4"/>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4"/>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4"/>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4"/>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4"/>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4"/>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4"/>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4"/>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4"/>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4"/>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4"/>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4"/>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4"/>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4"/>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4"/>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4"/>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4"/>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4"/>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4"/>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4"/>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4"/>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4"/>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4"/>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4"/>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4"/>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4"/>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4"/>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4"/>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4"/>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4"/>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4"/>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4"/>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4"/>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4"/>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4"/>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4"/>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4"/>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4"/>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4"/>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4"/>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4"/>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4"/>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4"/>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4"/>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4"/>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4"/>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4"/>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4"/>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4"/>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4"/>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4"/>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4"/>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4"/>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4"/>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4"/>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4"/>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4"/>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4"/>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4"/>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4"/>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4"/>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4"/>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4"/>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4"/>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4"/>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4"/>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4"/>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4"/>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4"/>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4"/>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4"/>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4"/>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4"/>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4"/>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4"/>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4"/>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4"/>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4"/>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4"/>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4"/>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4"/>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4"/>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4"/>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4"/>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4"/>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4"/>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4"/>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4"/>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4"/>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4"/>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4"/>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4"/>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4"/>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4"/>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4"/>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4"/>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4"/>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4"/>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4"/>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4"/>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4"/>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4"/>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4"/>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4"/>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4"/>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4"/>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4"/>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4"/>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4"/>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4"/>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4"/>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4"/>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4"/>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4"/>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4"/>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4"/>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4"/>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4"/>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4"/>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4"/>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4"/>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4"/>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4"/>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4"/>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4"/>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4"/>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4"/>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4"/>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4"/>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4"/>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4"/>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4"/>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4"/>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4"/>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4"/>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4"/>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4"/>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4"/>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4"/>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4"/>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4"/>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4"/>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4"/>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4"/>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4"/>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4"/>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4"/>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4"/>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4"/>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4"/>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4"/>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4"/>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4"/>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4"/>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4"/>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4"/>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4"/>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4"/>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4"/>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4"/>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4"/>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4"/>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4"/>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4"/>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4"/>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4"/>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4"/>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4"/>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4"/>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4"/>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4"/>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4"/>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4"/>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4"/>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4"/>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4"/>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4"/>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4"/>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4"/>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4"/>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4"/>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4"/>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4"/>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4"/>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4"/>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4"/>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4"/>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4"/>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4"/>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4"/>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4"/>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4"/>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4"/>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4"/>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4"/>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4"/>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4"/>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4"/>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4"/>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4"/>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4"/>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4"/>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4"/>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4"/>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4"/>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4"/>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4"/>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4"/>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4"/>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4"/>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4"/>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4"/>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4"/>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4"/>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4"/>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4"/>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4"/>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4"/>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4"/>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4"/>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4"/>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4"/>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4"/>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4"/>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4"/>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4"/>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4"/>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4"/>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4"/>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4"/>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4"/>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4"/>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4"/>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4"/>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4"/>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4"/>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4"/>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4"/>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4"/>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4"/>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4"/>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4"/>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4"/>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4"/>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4"/>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4"/>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4"/>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4"/>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4"/>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4"/>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4"/>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4"/>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4"/>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4"/>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4"/>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4"/>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4"/>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4"/>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4"/>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4"/>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4"/>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4"/>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4"/>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4"/>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4"/>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4"/>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4"/>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4"/>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4"/>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4"/>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4"/>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4"/>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4"/>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4"/>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4"/>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4"/>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4"/>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4"/>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4"/>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4"/>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4"/>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4"/>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4"/>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4"/>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4"/>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4"/>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4"/>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4"/>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4"/>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3.5" customHeight="1">
      <c r="A1002" s="2"/>
      <c r="B1002" s="2"/>
      <c r="C1002" s="2"/>
      <c r="D1002" s="4"/>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3.5" customHeight="1">
      <c r="A1003" s="2"/>
      <c r="B1003" s="2"/>
      <c r="C1003" s="2"/>
      <c r="D1003" s="4"/>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3.5" customHeight="1">
      <c r="A1004" s="2"/>
      <c r="B1004" s="2"/>
      <c r="C1004" s="2"/>
      <c r="D1004" s="4"/>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3.5" customHeight="1">
      <c r="A1005" s="2"/>
      <c r="B1005" s="2"/>
      <c r="C1005" s="2"/>
      <c r="D1005" s="4"/>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3.5" customHeight="1">
      <c r="A1006" s="2"/>
      <c r="B1006" s="2"/>
      <c r="C1006" s="2"/>
      <c r="D1006" s="4"/>
      <c r="E1006" s="2"/>
      <c r="F1006" s="2"/>
      <c r="G1006" s="2"/>
      <c r="H1006" s="2"/>
      <c r="I1006" s="2"/>
      <c r="J1006" s="2"/>
      <c r="K1006" s="2"/>
      <c r="L1006" s="2"/>
      <c r="M1006" s="2"/>
      <c r="N1006" s="2"/>
      <c r="O1006" s="2"/>
      <c r="P1006" s="2"/>
      <c r="Q1006" s="2"/>
      <c r="R1006" s="2"/>
      <c r="S1006" s="2"/>
      <c r="T1006" s="2"/>
      <c r="U1006" s="2"/>
      <c r="V1006" s="2"/>
      <c r="W1006" s="2"/>
      <c r="X1006" s="2"/>
      <c r="Y1006" s="2"/>
      <c r="Z1006" s="2"/>
    </row>
  </sheetData>
  <mergeCells count="52">
    <mergeCell ref="C45:C47"/>
    <mergeCell ref="A48:F48"/>
    <mergeCell ref="A50:G50"/>
    <mergeCell ref="A51:A52"/>
    <mergeCell ref="B51:B52"/>
    <mergeCell ref="C51:C52"/>
    <mergeCell ref="D51:D52"/>
    <mergeCell ref="G51:G52"/>
    <mergeCell ref="C53:C55"/>
    <mergeCell ref="C61:C64"/>
    <mergeCell ref="A65:F65"/>
    <mergeCell ref="A67:G67"/>
    <mergeCell ref="D69:G69"/>
    <mergeCell ref="A70:C70"/>
    <mergeCell ref="D70:G70"/>
    <mergeCell ref="D73:G76"/>
    <mergeCell ref="E51:E52"/>
    <mergeCell ref="F51:F52"/>
    <mergeCell ref="A56:F56"/>
    <mergeCell ref="A58:G58"/>
    <mergeCell ref="A59:A60"/>
    <mergeCell ref="B59:B60"/>
    <mergeCell ref="G59:G60"/>
    <mergeCell ref="C6:C7"/>
    <mergeCell ref="D6:D7"/>
    <mergeCell ref="E6:E7"/>
    <mergeCell ref="F6:F7"/>
    <mergeCell ref="A1:H1"/>
    <mergeCell ref="A2:H2"/>
    <mergeCell ref="A3:I3"/>
    <mergeCell ref="A4:H4"/>
    <mergeCell ref="A5:H5"/>
    <mergeCell ref="A6:A7"/>
    <mergeCell ref="B6:B7"/>
    <mergeCell ref="G6:H6"/>
    <mergeCell ref="C9:H9"/>
    <mergeCell ref="C31:H31"/>
    <mergeCell ref="A34:H34"/>
    <mergeCell ref="A38:H38"/>
    <mergeCell ref="A40:H40"/>
    <mergeCell ref="A42:G42"/>
    <mergeCell ref="A43:A44"/>
    <mergeCell ref="B43:B44"/>
    <mergeCell ref="C43:C44"/>
    <mergeCell ref="D43:D44"/>
    <mergeCell ref="E43:E44"/>
    <mergeCell ref="F43:F44"/>
    <mergeCell ref="G43:G44"/>
    <mergeCell ref="C59:C60"/>
    <mergeCell ref="D59:D60"/>
    <mergeCell ref="E59:E60"/>
    <mergeCell ref="F59:F60"/>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DELL</dc:creator>
</cp:coreProperties>
</file>